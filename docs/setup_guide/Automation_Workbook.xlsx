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jacob_lapka_alleninstitute_org/Documents/JL_Protocols/"/>
    </mc:Choice>
  </mc:AlternateContent>
  <xr:revisionPtr revIDLastSave="86" documentId="8_{430AF3DB-6840-4C8D-8259-18A7AE70EDCE}" xr6:coauthVersionLast="47" xr6:coauthVersionMax="47" xr10:uidLastSave="{58C3FC7C-3168-426D-94B9-0A017E56AC4C}"/>
  <bookViews>
    <workbookView xWindow="-110" yWindow="-110" windowWidth="19420" windowHeight="11500" xr2:uid="{D104BF3B-8383-4248-B479-E845C382936A}"/>
  </bookViews>
  <sheets>
    <sheet name="Calculator" sheetId="1" r:id="rId1"/>
    <sheet name="Reagent Prep" sheetId="2" r:id="rId2"/>
  </sheets>
  <definedNames>
    <definedName name="_xlnm.Print_Area" localSheetId="0">Calculator!$I$31:$W$42</definedName>
    <definedName name="_xlnm.Print_Area" localSheetId="1">'Reagent Prep'!$A$1:$D$63,'Reagent Prep'!$G$2:$L$6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2" l="1"/>
  <c r="F14" i="1"/>
  <c r="F16" i="1"/>
  <c r="F15" i="1"/>
  <c r="F10" i="1"/>
  <c r="F11" i="1" s="1"/>
  <c r="F12" i="1"/>
  <c r="F13" i="1" s="1"/>
  <c r="F39" i="1" l="1"/>
  <c r="F18" i="1"/>
  <c r="F17" i="1" s="1"/>
  <c r="F33" i="1" s="1"/>
  <c r="S25" i="1" s="1"/>
  <c r="F20" i="1"/>
  <c r="F19" i="1" s="1"/>
  <c r="F21" i="1"/>
  <c r="F35" i="1" s="1"/>
  <c r="S27" i="1" s="1"/>
  <c r="B2" i="2"/>
  <c r="B3" i="2"/>
  <c r="J31" i="1" l="1"/>
  <c r="N31" i="1"/>
  <c r="R31" i="1"/>
  <c r="V31" i="1"/>
  <c r="K31" i="1"/>
  <c r="O31" i="1"/>
  <c r="S31" i="1"/>
  <c r="L31" i="1"/>
  <c r="P31" i="1"/>
  <c r="T31" i="1"/>
  <c r="M31" i="1"/>
  <c r="Q31" i="1"/>
  <c r="U31" i="1"/>
  <c r="F37" i="1"/>
  <c r="S29" i="1" s="1"/>
  <c r="F36" i="1"/>
  <c r="S28" i="1" s="1"/>
  <c r="F28" i="1"/>
  <c r="V20" i="1" l="1"/>
  <c r="S20" i="1"/>
  <c r="L20" i="1"/>
  <c r="U20" i="1"/>
  <c r="M20" i="1"/>
  <c r="T20" i="1"/>
  <c r="K20" i="1"/>
  <c r="R20" i="1"/>
  <c r="Q20" i="1"/>
  <c r="P20" i="1"/>
  <c r="O20" i="1"/>
  <c r="N20" i="1"/>
  <c r="J20" i="1"/>
  <c r="F29" i="1"/>
  <c r="S21" i="1" s="1"/>
  <c r="F30" i="1"/>
  <c r="S22" i="1" s="1"/>
  <c r="N27" i="1" l="1"/>
  <c r="O22" i="1"/>
  <c r="J22" i="1"/>
  <c r="N22" i="1"/>
  <c r="K22" i="1"/>
  <c r="L22" i="1"/>
  <c r="R22" i="1"/>
  <c r="T22" i="1"/>
  <c r="U22" i="1"/>
  <c r="P22" i="1"/>
  <c r="Q22" i="1"/>
  <c r="V22" i="1"/>
  <c r="M22" i="1"/>
  <c r="R21" i="1"/>
  <c r="Q21" i="1"/>
  <c r="K21" i="1"/>
  <c r="T21" i="1"/>
  <c r="L21" i="1"/>
  <c r="J21" i="1"/>
  <c r="V21" i="1"/>
  <c r="N21" i="1"/>
  <c r="O21" i="1"/>
  <c r="U21" i="1"/>
  <c r="M21" i="1"/>
  <c r="P21" i="1"/>
  <c r="F31" i="1"/>
  <c r="S23" i="1" s="1"/>
  <c r="F38" i="1"/>
  <c r="S30" i="1" s="1"/>
  <c r="F34" i="1"/>
  <c r="S26" i="1" s="1"/>
  <c r="K28" i="1"/>
  <c r="M28" i="1"/>
  <c r="J28" i="1"/>
  <c r="L28" i="1"/>
  <c r="M27" i="1"/>
  <c r="U28" i="1"/>
  <c r="K27" i="1"/>
  <c r="T28" i="1"/>
  <c r="J27" i="1"/>
  <c r="O28" i="1"/>
  <c r="N28" i="1"/>
  <c r="U27" i="1"/>
  <c r="T27" i="1"/>
  <c r="R27" i="1"/>
  <c r="Q27" i="1"/>
  <c r="L27" i="1"/>
  <c r="V28" i="1"/>
  <c r="Q28" i="1"/>
  <c r="V27" i="1"/>
  <c r="P27" i="1"/>
  <c r="O27" i="1"/>
  <c r="R28" i="1"/>
  <c r="P28" i="1"/>
  <c r="F32" i="1"/>
  <c r="S24" i="1" s="1"/>
  <c r="B46" i="2"/>
  <c r="B43" i="2"/>
  <c r="B40" i="2"/>
  <c r="V30" i="1" l="1"/>
  <c r="Q29" i="1"/>
  <c r="Q25" i="1"/>
  <c r="U23" i="1"/>
  <c r="K23" i="1"/>
  <c r="T23" i="1"/>
  <c r="N23" i="1"/>
  <c r="O23" i="1"/>
  <c r="V23" i="1"/>
  <c r="L23" i="1"/>
  <c r="R23" i="1"/>
  <c r="M23" i="1"/>
  <c r="J23" i="1"/>
  <c r="Q23" i="1"/>
  <c r="P23" i="1"/>
  <c r="K30" i="1"/>
  <c r="L30" i="1"/>
  <c r="M30" i="1"/>
  <c r="O30" i="1"/>
  <c r="N30" i="1"/>
  <c r="R30" i="1"/>
  <c r="P30" i="1"/>
  <c r="Q30" i="1"/>
  <c r="T30" i="1"/>
  <c r="U30" i="1"/>
  <c r="J30" i="1"/>
  <c r="J25" i="1"/>
  <c r="P25" i="1"/>
  <c r="U25" i="1"/>
  <c r="R25" i="1"/>
  <c r="M25" i="1"/>
  <c r="N25" i="1"/>
  <c r="K25" i="1"/>
  <c r="V25" i="1"/>
  <c r="L25" i="1"/>
  <c r="O25" i="1"/>
  <c r="T25" i="1"/>
  <c r="J29" i="1"/>
  <c r="J26" i="1"/>
  <c r="R24" i="1"/>
  <c r="Q24" i="1"/>
  <c r="L24" i="1"/>
  <c r="O24" i="1"/>
  <c r="J24" i="1"/>
  <c r="N24" i="1"/>
  <c r="T24" i="1"/>
  <c r="V24" i="1"/>
  <c r="K26" i="1"/>
  <c r="L26" i="1"/>
  <c r="M26" i="1"/>
  <c r="N26" i="1"/>
  <c r="V26" i="1"/>
  <c r="T29" i="1"/>
  <c r="K29" i="1"/>
  <c r="L29" i="1"/>
  <c r="M29" i="1"/>
  <c r="N29" i="1"/>
  <c r="O29" i="1"/>
  <c r="P29" i="1"/>
  <c r="R29" i="1"/>
  <c r="U29" i="1"/>
  <c r="V29" i="1"/>
  <c r="K24" i="1"/>
  <c r="M24" i="1"/>
  <c r="P24" i="1"/>
  <c r="O26" i="1"/>
  <c r="R26" i="1"/>
  <c r="P26" i="1"/>
  <c r="Q26" i="1"/>
  <c r="T26" i="1"/>
  <c r="U24" i="1"/>
  <c r="U26" i="1"/>
  <c r="U36" i="1" l="1"/>
  <c r="N36" i="1"/>
  <c r="M36" i="1"/>
  <c r="O36" i="1"/>
  <c r="O37" i="1" s="1"/>
  <c r="L36" i="1"/>
  <c r="T36" i="1"/>
  <c r="J36" i="1"/>
  <c r="K36" i="1"/>
  <c r="K37" i="1" s="1"/>
  <c r="S36" i="1"/>
  <c r="S37" i="1" s="1"/>
  <c r="V36" i="1"/>
  <c r="V37" i="1" s="1"/>
  <c r="C15" i="2" s="1"/>
  <c r="U37" i="1"/>
  <c r="R36" i="1"/>
  <c r="R37" i="1" s="1"/>
  <c r="Q36" i="1"/>
  <c r="Q37" i="1" s="1"/>
  <c r="P36" i="1"/>
  <c r="P37" i="1" s="1"/>
  <c r="M37" i="1" l="1"/>
  <c r="J43" i="1" s="1"/>
  <c r="C9" i="2" s="1"/>
  <c r="C58" i="2"/>
  <c r="J51" i="1"/>
  <c r="C42" i="2"/>
  <c r="C43" i="2"/>
  <c r="C46" i="2"/>
  <c r="C45" i="2"/>
  <c r="J47" i="1"/>
  <c r="C53" i="2"/>
  <c r="C52" i="2"/>
  <c r="H4" i="2"/>
  <c r="J52" i="1"/>
  <c r="C40" i="2"/>
  <c r="C39" i="2"/>
  <c r="C12" i="2"/>
  <c r="C57" i="2"/>
  <c r="J37" i="1"/>
  <c r="J42" i="1" s="1"/>
  <c r="C59" i="2"/>
  <c r="J50" i="1"/>
  <c r="J46" i="1"/>
  <c r="L37" i="1"/>
  <c r="T37" i="1"/>
  <c r="N37" i="1"/>
  <c r="K6" i="2"/>
  <c r="L4" i="2"/>
  <c r="C33" i="2"/>
  <c r="L6" i="2"/>
  <c r="H6" i="2"/>
  <c r="I6" i="2"/>
  <c r="J4" i="2" l="1"/>
  <c r="K4" i="2"/>
  <c r="C13" i="2"/>
  <c r="C35" i="2" s="1"/>
  <c r="C49" i="2"/>
  <c r="C48" i="2"/>
  <c r="C14" i="2"/>
  <c r="C32" i="2" s="1"/>
  <c r="J49" i="1"/>
  <c r="J45" i="1"/>
  <c r="I4" i="2"/>
  <c r="J48" i="1"/>
  <c r="J41" i="1"/>
  <c r="C7" i="2" s="1"/>
  <c r="J6" i="2"/>
  <c r="C8" i="2" l="1"/>
  <c r="G4" i="2"/>
  <c r="C34" i="2" l="1"/>
  <c r="G6" i="2"/>
</calcChain>
</file>

<file path=xl/sharedStrings.xml><?xml version="1.0" encoding="utf-8"?>
<sst xmlns="http://schemas.openxmlformats.org/spreadsheetml/2006/main" count="277" uniqueCount="212">
  <si>
    <t>Paste protocol into column A and enter number of chambers to calculate experiment volumes</t>
  </si>
  <si>
    <t>Date:</t>
  </si>
  <si>
    <t>Notes to Automation Set Up Tech:</t>
  </si>
  <si>
    <t>Experiment name:</t>
  </si>
  <si>
    <t>Number of Chambers:</t>
  </si>
  <si>
    <t>CRM</t>
  </si>
  <si>
    <t>Block</t>
  </si>
  <si>
    <t>IRM</t>
  </si>
  <si>
    <t>USM</t>
  </si>
  <si>
    <t>strip</t>
  </si>
  <si>
    <t>FISH wash</t>
  </si>
  <si>
    <t>bc primer mix</t>
  </si>
  <si>
    <t>gene primer mix</t>
  </si>
  <si>
    <t>Hyb01 oligos mix</t>
  </si>
  <si>
    <t>Hyb02 oligo mix</t>
  </si>
  <si>
    <t>Sytox</t>
  </si>
  <si>
    <t>pbst</t>
  </si>
  <si>
    <t>inc. buffer</t>
  </si>
  <si>
    <t>Gene primers:</t>
  </si>
  <si>
    <t>ys220</t>
  </si>
  <si>
    <t>bcseq r1</t>
  </si>
  <si>
    <t>BC primer:</t>
  </si>
  <si>
    <t>MR853</t>
  </si>
  <si>
    <t>bcseq r2+</t>
  </si>
  <si>
    <t>Hyb Primers:</t>
  </si>
  <si>
    <t>geneseq r1</t>
  </si>
  <si>
    <t xml:space="preserve">Additional Hyb primers: </t>
  </si>
  <si>
    <t>XCAI145, XC2759, XCAI150, XCAI 154</t>
  </si>
  <si>
    <t>geneseq r2+</t>
  </si>
  <si>
    <t>Protocol</t>
  </si>
  <si>
    <t>Number of sequences</t>
  </si>
  <si>
    <t>bc primer</t>
  </si>
  <si>
    <t>process</t>
  </si>
  <si>
    <t>Fluidics_sequence_bcseq01</t>
  </si>
  <si>
    <t>gene primer</t>
  </si>
  <si>
    <t>Fluidics_sequence_add_gene_primer</t>
  </si>
  <si>
    <t>Fluidics_sequence_bcseq02+</t>
  </si>
  <si>
    <t>hyb</t>
  </si>
  <si>
    <t>Fluidics_sequence_geneseq01</t>
  </si>
  <si>
    <t>Strip</t>
  </si>
  <si>
    <t>imagecycle00</t>
  </si>
  <si>
    <t>Fluidics_sequence_geneseq02+</t>
  </si>
  <si>
    <t>bc primer rehyb</t>
  </si>
  <si>
    <t>imagecycle_geneseq01</t>
  </si>
  <si>
    <t>Fluidics_sequence_hyb01</t>
  </si>
  <si>
    <t>gene primer rehyb</t>
  </si>
  <si>
    <t>Fluidics_sequence_geneseq02</t>
  </si>
  <si>
    <t>Fluidics_sequence_hyb01_rehyb</t>
  </si>
  <si>
    <t>hyb rehyb01</t>
  </si>
  <si>
    <t>imagecycle_geneseq02</t>
  </si>
  <si>
    <t>Fluidics_sequence_hyb02_rehyb</t>
  </si>
  <si>
    <t>hyb rehyb02</t>
  </si>
  <si>
    <t>Fluidics_sequence_geneseq03</t>
  </si>
  <si>
    <t>Fluidics_sequence_add_gene_primer01</t>
  </si>
  <si>
    <t>imagecycle_geneseq03</t>
  </si>
  <si>
    <t>Fluidics_sequence_add_gene_primer01_rehyb</t>
  </si>
  <si>
    <t>Fluidics_sequence_geneseq04</t>
  </si>
  <si>
    <t>Fluidics_sequence_add_bc_primer01</t>
  </si>
  <si>
    <t>total volume</t>
  </si>
  <si>
    <t>imagecycle_geneseq04</t>
  </si>
  <si>
    <t>Fluidics_sequence_add_bc_primer01_rehyb</t>
  </si>
  <si>
    <t>Fluidics_sequence_geneseq05</t>
  </si>
  <si>
    <t>Fluidics_sequence_strip</t>
  </si>
  <si>
    <t>imagecycle_geneseq05</t>
  </si>
  <si>
    <t>Fluidics_sequence_geneseq06</t>
  </si>
  <si>
    <t>geneseqr2+</t>
  </si>
  <si>
    <t>imagecycle_geneseq06</t>
  </si>
  <si>
    <t>Fluidics_sequence_geneseq07</t>
  </si>
  <si>
    <t>imagecycle_geneseq07</t>
  </si>
  <si>
    <t>Fluidics_sequence_strip01</t>
  </si>
  <si>
    <t>Number of sequences * Number of chambers run</t>
  </si>
  <si>
    <t>Number of rounds</t>
  </si>
  <si>
    <t>Fluidics_sequence_HYB_rehyb01</t>
  </si>
  <si>
    <t>imagecycle_hyb01</t>
  </si>
  <si>
    <t>Fluidics_sequence_strip02</t>
  </si>
  <si>
    <t>hyb rehyb</t>
  </si>
  <si>
    <t>Fluidics_sequence_add_bc_primer_rehyb01</t>
  </si>
  <si>
    <t>imagecycle_bcseq01</t>
  </si>
  <si>
    <t>Fluidics_sequence_bcseq02</t>
  </si>
  <si>
    <t>imagecycle_bcseq02</t>
  </si>
  <si>
    <t>Hyb 01 oligos mix</t>
  </si>
  <si>
    <t>Hyb 02 oligos mix</t>
  </si>
  <si>
    <t>DAPI</t>
  </si>
  <si>
    <t>PBST</t>
  </si>
  <si>
    <t>Fluidics_sequence_bcseq03</t>
  </si>
  <si>
    <t>imagecycle_bcseq03</t>
  </si>
  <si>
    <t>Total volume</t>
  </si>
  <si>
    <t>Fluidics_sequence_bcseq04</t>
  </si>
  <si>
    <t>imagecycle_bcseq04</t>
  </si>
  <si>
    <t>Fluidics_sequence_bcseq05</t>
  </si>
  <si>
    <t>Kits needed:</t>
  </si>
  <si>
    <t>imagecycle_bcseq05</t>
  </si>
  <si>
    <t>IRM (21mL per kit)</t>
  </si>
  <si>
    <t>Fluidics_sequence_bcseq06</t>
  </si>
  <si>
    <t>CRM (21mL per kit)</t>
  </si>
  <si>
    <t>imagecycle_bcseq06</t>
  </si>
  <si>
    <t>USM (30mL per kit)</t>
  </si>
  <si>
    <t>Fluidics_sequence_bcseq07</t>
  </si>
  <si>
    <t>imagecycle_bcseq07</t>
  </si>
  <si>
    <t>total PBST</t>
  </si>
  <si>
    <t>Fluidics_sequence_bcseq08</t>
  </si>
  <si>
    <t>total FISH</t>
  </si>
  <si>
    <t>imagecycle_bcseq08</t>
  </si>
  <si>
    <t>Iodo block</t>
  </si>
  <si>
    <t>Fluidics_sequence_bcseq09</t>
  </si>
  <si>
    <t>therminator for IRM</t>
  </si>
  <si>
    <t>imagecycle_bcseq09</t>
  </si>
  <si>
    <t>Fluidics_sequence_bcseq10</t>
  </si>
  <si>
    <t>gene oligo (uL)</t>
  </si>
  <si>
    <t>imagecycle_bcseq10</t>
  </si>
  <si>
    <t>bc oligo</t>
  </si>
  <si>
    <t>Fluidics_sequence_bcseq11</t>
  </si>
  <si>
    <t>hyb oligo</t>
  </si>
  <si>
    <t>imagecycle_bcseq11</t>
  </si>
  <si>
    <t>Fluidics_sequence_bcseq12</t>
  </si>
  <si>
    <t>imagecycle_bcseq12</t>
  </si>
  <si>
    <t>Fluidics_sequence_bcseq13</t>
  </si>
  <si>
    <t>imagecycle_bcseq13</t>
  </si>
  <si>
    <t>Fluidics_sequence_bcseq14</t>
  </si>
  <si>
    <t>imagecycle_bcseq14</t>
  </si>
  <si>
    <t>Fluidics_sequence_bcseq15</t>
  </si>
  <si>
    <t>imagecycle_bcseq15</t>
  </si>
  <si>
    <t>Fluidics_sequence_strip03</t>
  </si>
  <si>
    <t>Fluidics_sequence_user_defined01</t>
  </si>
  <si>
    <t>imagecycle_hyb02</t>
  </si>
  <si>
    <t>Experiment:</t>
  </si>
  <si>
    <t>Total volumes:</t>
  </si>
  <si>
    <t xml:space="preserve">Imaging Date: </t>
  </si>
  <si>
    <t>Reagent Prep</t>
  </si>
  <si>
    <t>Step 1</t>
  </si>
  <si>
    <t>Input protocol and number of chambers into calculator portion of this sheet</t>
  </si>
  <si>
    <t>hyb oligos mix</t>
  </si>
  <si>
    <t>Step 2</t>
  </si>
  <si>
    <t>Thaw reagents (check for extra reagent in Reagent Cave or Alder Freezer)</t>
  </si>
  <si>
    <t># of kits</t>
  </si>
  <si>
    <t>IRM (IMS) (21mL per kit)</t>
  </si>
  <si>
    <t>CRM (CMS) (21mL per kit)</t>
  </si>
  <si>
    <t>USM (SRE) (30mL per kit)</t>
  </si>
  <si>
    <t>Step 3</t>
  </si>
  <si>
    <t>Label tubes with reagent name, volume, and date. Reagents and volumes can be found on the last page of this worksheet</t>
  </si>
  <si>
    <t>Step 4</t>
  </si>
  <si>
    <t>Volumes needed</t>
  </si>
  <si>
    <t>2% PBST</t>
  </si>
  <si>
    <t>Incorporation buffer</t>
  </si>
  <si>
    <t>Step 5</t>
  </si>
  <si>
    <t>Make bulk reagents as needed</t>
  </si>
  <si>
    <t>Recipes</t>
  </si>
  <si>
    <t>FISH wash (1000mL)</t>
  </si>
  <si>
    <t>Water</t>
  </si>
  <si>
    <t>800 mL</t>
  </si>
  <si>
    <t>20xSSC</t>
  </si>
  <si>
    <t>100 mL</t>
  </si>
  <si>
    <t>Formamide</t>
  </si>
  <si>
    <t>Tween-20</t>
  </si>
  <si>
    <t>1000 uL</t>
  </si>
  <si>
    <t>Strip (500mL)</t>
  </si>
  <si>
    <t>150 mL</t>
  </si>
  <si>
    <t>50 mL</t>
  </si>
  <si>
    <t>300 mL</t>
  </si>
  <si>
    <t>500 uL</t>
  </si>
  <si>
    <t>2% PBST (1L)</t>
  </si>
  <si>
    <t>880 mL</t>
  </si>
  <si>
    <t>10xPBS</t>
  </si>
  <si>
    <t>20 mL</t>
  </si>
  <si>
    <t>Step 6</t>
  </si>
  <si>
    <t>Filter reagents</t>
  </si>
  <si>
    <t>Minimum volumes needed</t>
  </si>
  <si>
    <t>Put all bulk reagent tubes into fluidics system rack</t>
  </si>
  <si>
    <t>Step 7</t>
  </si>
  <si>
    <t>Make Oligo Mixes and DAPI, use pre-filtered FISH wash and PBST. Add Therminator to IRM</t>
  </si>
  <si>
    <t>Hyb mix (1:400 each oligo)</t>
  </si>
  <si>
    <t>FISH wash (prefiltered)</t>
  </si>
  <si>
    <t>BC mix (1:100)</t>
  </si>
  <si>
    <t>Gene mix (1:100)</t>
  </si>
  <si>
    <t>DAPI (1:500)</t>
  </si>
  <si>
    <t>2%PBST (prefiltered)</t>
  </si>
  <si>
    <t xml:space="preserve">DAPI (5mg/ml stock: 1 vial of 10mg -&gt;2ml of H2O) </t>
  </si>
  <si>
    <t>Put all tubes into fluidics system rack</t>
  </si>
  <si>
    <t>Step 8</t>
  </si>
  <si>
    <t>Make Ido Block</t>
  </si>
  <si>
    <t>Recipe</t>
  </si>
  <si>
    <t>Idoacetamide (bulk)</t>
  </si>
  <si>
    <t>2% PBST (prefiltered)</t>
  </si>
  <si>
    <t>Put ido block tube into fluidics system rack</t>
  </si>
  <si>
    <t>Step 9</t>
  </si>
  <si>
    <t>Aliquot reagents into large tubes</t>
  </si>
  <si>
    <t>IRM (add therminator 1:200)</t>
  </si>
  <si>
    <t>Therminator (add to IRM)</t>
  </si>
  <si>
    <t>Put sequencing reagent tubes into fluidics system rack</t>
  </si>
  <si>
    <t>Step 10</t>
  </si>
  <si>
    <t>Extra sequencing reagents can be stored at 4C for a day or -20 for longer. They can also be aliquotted into tubes for manual sequencing.</t>
  </si>
  <si>
    <t>2026XXXX_[Condition]_[Slide_Numbers]_[SampleName]</t>
  </si>
  <si>
    <t>XCAI 154, xc2758, xc2759, xc2760</t>
  </si>
  <si>
    <r>
      <rPr>
        <b/>
        <sz val="11"/>
        <color theme="1"/>
        <rFont val="Calibri"/>
        <family val="2"/>
        <scheme val="minor"/>
      </rPr>
      <t>Additional hyb cycles beyond hyb02 should follow same volume and oligo concentration as hyb01 and hyb 02</t>
    </r>
    <r>
      <rPr>
        <sz val="11"/>
        <color theme="1"/>
        <rFont val="Calibri"/>
        <family val="2"/>
        <scheme val="minor"/>
      </rPr>
      <t xml:space="preserve">. Thus, this calculator does not calculate for futher cycles.
</t>
    </r>
    <r>
      <rPr>
        <b/>
        <sz val="11"/>
        <color theme="1"/>
        <rFont val="Calibri"/>
        <family val="2"/>
        <scheme val="minor"/>
      </rPr>
      <t>***Hyb02 etc are called userdefined cycles in the "Reagent Sequence Files" folder.</t>
    </r>
    <r>
      <rPr>
        <sz val="11"/>
        <color theme="1"/>
        <rFont val="Calibri"/>
        <family val="2"/>
        <scheme val="minor"/>
      </rPr>
      <t xml:space="preserve"> Double check that the sequences files are called corrrectly in the protocol.csv</t>
    </r>
  </si>
  <si>
    <t>Note: "Fluidics_sequence_user_defined01" calls up the sequencing protocol for Hyb02 (a new primer mix)</t>
  </si>
  <si>
    <t>Hyb03 would be "Fluidics_sequence_user_defined02"</t>
  </si>
  <si>
    <t>This section counts the number of times each cycle runs</t>
  </si>
  <si>
    <t>This top section marks out relatively how much of each solution is used in a given cycle</t>
  </si>
  <si>
    <t>This section calculates the total volume the different cycles will use for each reagent</t>
  </si>
  <si>
    <t>These are the calculations for total volumes necessary to complete the protocol. There is an additional buffer volume added to avoid running dry during the run</t>
  </si>
  <si>
    <t>Copy your protocol into this left column</t>
  </si>
  <si>
    <t>Always start with process</t>
  </si>
  <si>
    <t>Always include the first focusing imagecycle00 prior</t>
  </si>
  <si>
    <t>to the actual first image cycle</t>
  </si>
  <si>
    <t>Images will be saved under the folder listed</t>
  </si>
  <si>
    <t>in the imagecycle line (geneseq03)</t>
  </si>
  <si>
    <t>2026XXXX</t>
  </si>
  <si>
    <t>*These are easy to reference recipes for the bulk reagents</t>
  </si>
  <si>
    <t>Check volumes</t>
  </si>
  <si>
    <t>***If there are additional Hyb cycles, they follow the same concentrations, but are not listed here.</t>
  </si>
  <si>
    <t>**Use the filtered PBST and FISH wash for the next section prior to hooking them up to fluidics system</t>
  </si>
  <si>
    <t>Green-shaded areas require user input for each experiment. No other area should be changed. Total volumes and Reagent Prep sheets are auto-calculated from chamber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</si>
</sst>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4" xfId="0" applyBorder="1"/>
    <xf numFmtId="0" fontId="0" fillId="0" borderId="7" xfId="0" applyBorder="1"/>
    <xf numFmtId="0" fontId="0" fillId="3" borderId="9" xfId="0" applyFill="1" applyBorder="1"/>
    <xf numFmtId="0" fontId="0" fillId="3" borderId="7" xfId="0" applyFill="1" applyBorder="1"/>
    <xf numFmtId="0" fontId="0" fillId="3" borderId="4" xfId="0" applyFill="1" applyBorder="1"/>
    <xf numFmtId="0" fontId="0" fillId="0" borderId="9" xfId="0" applyBorder="1"/>
    <xf numFmtId="0" fontId="0" fillId="0" borderId="0" xfId="0" applyAlignment="1">
      <alignment horizontal="left" wrapText="1"/>
    </xf>
    <xf numFmtId="0" fontId="0" fillId="3" borderId="5" xfId="0" applyFill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4" fillId="0" borderId="6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3" borderId="16" xfId="0" applyFont="1" applyFill="1" applyBorder="1" applyAlignment="1">
      <alignment horizontal="left" wrapText="1"/>
    </xf>
    <xf numFmtId="0" fontId="2" fillId="3" borderId="17" xfId="0" applyFont="1" applyFill="1" applyBorder="1" applyAlignment="1">
      <alignment horizontal="left" wrapText="1"/>
    </xf>
    <xf numFmtId="0" fontId="2" fillId="3" borderId="18" xfId="0" applyFont="1" applyFill="1" applyBorder="1" applyAlignment="1">
      <alignment horizontal="left" wrapText="1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8" fillId="3" borderId="5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3" borderId="15" xfId="0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5" borderId="0" xfId="0" applyFill="1"/>
    <xf numFmtId="0" fontId="0" fillId="3" borderId="22" xfId="0" applyFill="1" applyBorder="1" applyAlignment="1">
      <alignment horizontal="left"/>
    </xf>
    <xf numFmtId="0" fontId="2" fillId="5" borderId="0" xfId="0" applyFont="1" applyFill="1"/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25" xfId="0" applyBorder="1"/>
    <xf numFmtId="0" fontId="6" fillId="0" borderId="26" xfId="0" applyFont="1" applyBorder="1"/>
    <xf numFmtId="0" fontId="7" fillId="0" borderId="26" xfId="0" applyFont="1" applyBorder="1"/>
    <xf numFmtId="0" fontId="0" fillId="0" borderId="23" xfId="0" applyBorder="1"/>
    <xf numFmtId="0" fontId="0" fillId="0" borderId="24" xfId="0" applyBorder="1"/>
    <xf numFmtId="0" fontId="7" fillId="0" borderId="28" xfId="0" applyFont="1" applyBorder="1"/>
    <xf numFmtId="0" fontId="2" fillId="0" borderId="23" xfId="0" applyFont="1" applyBorder="1"/>
    <xf numFmtId="0" fontId="0" fillId="3" borderId="23" xfId="0" applyFill="1" applyBorder="1"/>
    <xf numFmtId="0" fontId="2" fillId="3" borderId="24" xfId="0" applyFont="1" applyFill="1" applyBorder="1" applyAlignment="1">
      <alignment wrapText="1"/>
    </xf>
    <xf numFmtId="0" fontId="2" fillId="3" borderId="25" xfId="0" applyFont="1" applyFill="1" applyBorder="1" applyAlignment="1">
      <alignment wrapText="1"/>
    </xf>
    <xf numFmtId="0" fontId="2" fillId="3" borderId="26" xfId="0" applyFont="1" applyFill="1" applyBorder="1"/>
    <xf numFmtId="0" fontId="0" fillId="3" borderId="27" xfId="0" applyFill="1" applyBorder="1"/>
    <xf numFmtId="0" fontId="2" fillId="3" borderId="28" xfId="0" applyFont="1" applyFill="1" applyBorder="1"/>
    <xf numFmtId="0" fontId="2" fillId="3" borderId="29" xfId="0" applyFont="1" applyFill="1" applyBorder="1"/>
    <xf numFmtId="0" fontId="2" fillId="3" borderId="30" xfId="0" applyFont="1" applyFill="1" applyBorder="1"/>
    <xf numFmtId="0" fontId="2" fillId="0" borderId="26" xfId="0" applyFont="1" applyBorder="1"/>
    <xf numFmtId="0" fontId="0" fillId="0" borderId="29" xfId="0" applyBorder="1"/>
    <xf numFmtId="0" fontId="0" fillId="3" borderId="0" xfId="0" applyFill="1"/>
    <xf numFmtId="0" fontId="2" fillId="0" borderId="25" xfId="0" applyFont="1" applyBorder="1"/>
    <xf numFmtId="0" fontId="2" fillId="0" borderId="27" xfId="0" applyFont="1" applyBorder="1"/>
    <xf numFmtId="0" fontId="2" fillId="0" borderId="30" xfId="0" applyFont="1" applyBorder="1"/>
    <xf numFmtId="0" fontId="0" fillId="0" borderId="32" xfId="0" applyBorder="1" applyAlignment="1">
      <alignment wrapText="1"/>
    </xf>
    <xf numFmtId="0" fontId="10" fillId="0" borderId="0" xfId="0" applyFont="1"/>
    <xf numFmtId="0" fontId="0" fillId="0" borderId="8" xfId="0" applyBorder="1"/>
    <xf numFmtId="0" fontId="0" fillId="3" borderId="1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9" fillId="0" borderId="0" xfId="0" applyFont="1" applyAlignment="1">
      <alignment horizontal="center" vertical="top"/>
    </xf>
    <xf numFmtId="0" fontId="4" fillId="4" borderId="0" xfId="0" applyFont="1" applyFill="1" applyAlignment="1">
      <alignment horizontal="center"/>
    </xf>
    <xf numFmtId="0" fontId="0" fillId="0" borderId="0" xfId="0" applyFill="1"/>
    <xf numFmtId="0" fontId="0" fillId="0" borderId="34" xfId="0" applyBorder="1"/>
    <xf numFmtId="0" fontId="0" fillId="0" borderId="33" xfId="0" applyBorder="1"/>
    <xf numFmtId="0" fontId="0" fillId="0" borderId="1" xfId="0" applyFill="1" applyBorder="1" applyAlignment="1">
      <alignment wrapText="1"/>
    </xf>
    <xf numFmtId="0" fontId="0" fillId="0" borderId="13" xfId="0" applyFill="1" applyBorder="1" applyAlignment="1">
      <alignment horizontal="left"/>
    </xf>
    <xf numFmtId="0" fontId="0" fillId="0" borderId="7" xfId="0" applyFill="1" applyBorder="1"/>
    <xf numFmtId="0" fontId="2" fillId="6" borderId="5" xfId="0" applyFont="1" applyFill="1" applyBorder="1"/>
    <xf numFmtId="0" fontId="0" fillId="6" borderId="8" xfId="0" applyFill="1" applyBorder="1"/>
    <xf numFmtId="0" fontId="0" fillId="6" borderId="25" xfId="0" applyFill="1" applyBorder="1"/>
    <xf numFmtId="0" fontId="0" fillId="6" borderId="27" xfId="0" applyFill="1" applyBorder="1" applyAlignment="1">
      <alignment horizontal="left" wrapText="1"/>
    </xf>
    <xf numFmtId="0" fontId="1" fillId="6" borderId="27" xfId="0" applyFont="1" applyFill="1" applyBorder="1" applyAlignment="1">
      <alignment horizontal="left"/>
    </xf>
    <xf numFmtId="0" fontId="1" fillId="6" borderId="27" xfId="0" applyFont="1" applyFill="1" applyBorder="1"/>
    <xf numFmtId="0" fontId="1" fillId="6" borderId="27" xfId="0" applyFont="1" applyFill="1" applyBorder="1" applyAlignment="1">
      <alignment wrapText="1"/>
    </xf>
    <xf numFmtId="0" fontId="1" fillId="6" borderId="30" xfId="0" applyFont="1" applyFill="1" applyBorder="1"/>
    <xf numFmtId="0" fontId="2" fillId="5" borderId="0" xfId="0" applyFont="1" applyFill="1" applyAlignment="1">
      <alignment horizontal="center"/>
    </xf>
    <xf numFmtId="0" fontId="1" fillId="0" borderId="0" xfId="0" applyFont="1" applyFill="1"/>
    <xf numFmtId="0" fontId="2" fillId="0" borderId="31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9224-1812-422A-BE18-0C06EA073651}">
  <dimension ref="A1:V89"/>
  <sheetViews>
    <sheetView tabSelected="1" zoomScale="74" workbookViewId="0">
      <selection activeCell="G5" sqref="G5"/>
    </sheetView>
  </sheetViews>
  <sheetFormatPr defaultColWidth="8.81640625" defaultRowHeight="14.5" x14ac:dyDescent="0.35"/>
  <cols>
    <col min="1" max="1" width="36.1796875" customWidth="1"/>
    <col min="2" max="2" width="43.90625" customWidth="1"/>
    <col min="5" max="5" width="44.81640625" customWidth="1"/>
    <col min="6" max="6" width="18.453125" customWidth="1"/>
    <col min="9" max="9" width="18.54296875" customWidth="1"/>
    <col min="17" max="18" width="10.08984375" customWidth="1"/>
    <col min="19" max="19" width="10.36328125" customWidth="1"/>
  </cols>
  <sheetData>
    <row r="1" spans="1:22" ht="15" thickBot="1" x14ac:dyDescent="0.4">
      <c r="A1" s="48" t="s">
        <v>0</v>
      </c>
      <c r="B1" s="46"/>
      <c r="C1" s="110"/>
      <c r="D1" s="48" t="s">
        <v>211</v>
      </c>
      <c r="E1" s="46"/>
      <c r="F1" s="48"/>
      <c r="G1" s="46"/>
      <c r="H1" s="46"/>
      <c r="I1" s="109"/>
      <c r="J1" s="109"/>
      <c r="K1" s="109"/>
      <c r="L1" s="109"/>
      <c r="M1" s="109"/>
      <c r="N1" s="109"/>
      <c r="O1" s="17"/>
      <c r="P1" s="17"/>
      <c r="Q1" s="17"/>
      <c r="R1" s="17"/>
      <c r="S1" s="17"/>
      <c r="T1" s="17"/>
      <c r="U1" s="17"/>
      <c r="V1" s="17"/>
    </row>
    <row r="2" spans="1:22" x14ac:dyDescent="0.35">
      <c r="A2" s="62" t="s">
        <v>1</v>
      </c>
      <c r="B2" s="103" t="s">
        <v>206</v>
      </c>
      <c r="E2" s="111" t="s">
        <v>2</v>
      </c>
      <c r="F2" s="1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116" customHeight="1" thickBot="1" x14ac:dyDescent="0.4">
      <c r="A3" s="71" t="s">
        <v>3</v>
      </c>
      <c r="B3" s="104" t="s">
        <v>191</v>
      </c>
      <c r="E3" s="77" t="s">
        <v>193</v>
      </c>
      <c r="F3" s="1"/>
      <c r="I3" s="46" t="s">
        <v>197</v>
      </c>
      <c r="J3" s="46"/>
      <c r="K3" s="46"/>
      <c r="L3" s="46"/>
      <c r="M3" s="46"/>
      <c r="N3" s="46"/>
      <c r="O3" s="46"/>
      <c r="P3" s="17"/>
      <c r="Q3" s="17"/>
      <c r="R3" s="17"/>
      <c r="S3" s="17"/>
      <c r="T3" s="17"/>
      <c r="U3" s="17"/>
      <c r="V3" s="17"/>
    </row>
    <row r="4" spans="1:22" ht="43.5" x14ac:dyDescent="0.35">
      <c r="A4" s="71" t="s">
        <v>4</v>
      </c>
      <c r="B4" s="105">
        <v>3</v>
      </c>
      <c r="F4" s="1"/>
      <c r="I4" s="49"/>
      <c r="J4" s="50" t="s">
        <v>5</v>
      </c>
      <c r="K4" s="50" t="s">
        <v>6</v>
      </c>
      <c r="L4" s="50" t="s">
        <v>7</v>
      </c>
      <c r="M4" s="50" t="s">
        <v>8</v>
      </c>
      <c r="N4" s="50" t="s">
        <v>9</v>
      </c>
      <c r="O4" s="50" t="s">
        <v>10</v>
      </c>
      <c r="P4" s="50" t="s">
        <v>11</v>
      </c>
      <c r="Q4" s="50" t="s">
        <v>12</v>
      </c>
      <c r="R4" s="50" t="s">
        <v>13</v>
      </c>
      <c r="S4" s="50" t="s">
        <v>14</v>
      </c>
      <c r="T4" s="50" t="s">
        <v>15</v>
      </c>
      <c r="U4" s="50" t="s">
        <v>16</v>
      </c>
      <c r="V4" s="51" t="s">
        <v>17</v>
      </c>
    </row>
    <row r="5" spans="1:22" x14ac:dyDescent="0.35">
      <c r="A5" s="71" t="s">
        <v>18</v>
      </c>
      <c r="B5" s="106" t="s">
        <v>19</v>
      </c>
      <c r="F5" s="1"/>
      <c r="I5" s="52" t="s">
        <v>20</v>
      </c>
      <c r="K5">
        <v>1</v>
      </c>
      <c r="L5">
        <v>2</v>
      </c>
      <c r="M5">
        <v>1.5</v>
      </c>
      <c r="T5">
        <v>2</v>
      </c>
      <c r="U5">
        <v>26</v>
      </c>
      <c r="V5" s="53">
        <v>7.5</v>
      </c>
    </row>
    <row r="6" spans="1:22" x14ac:dyDescent="0.35">
      <c r="A6" s="71" t="s">
        <v>21</v>
      </c>
      <c r="B6" s="106" t="s">
        <v>22</v>
      </c>
      <c r="F6" s="1"/>
      <c r="I6" s="52" t="s">
        <v>23</v>
      </c>
      <c r="J6">
        <v>2</v>
      </c>
      <c r="K6">
        <v>1</v>
      </c>
      <c r="L6">
        <v>2</v>
      </c>
      <c r="M6">
        <v>1.5</v>
      </c>
      <c r="T6">
        <v>2</v>
      </c>
      <c r="U6">
        <v>24</v>
      </c>
      <c r="V6" s="53">
        <v>14</v>
      </c>
    </row>
    <row r="7" spans="1:22" x14ac:dyDescent="0.35">
      <c r="A7" s="71" t="s">
        <v>24</v>
      </c>
      <c r="B7" s="107" t="s">
        <v>192</v>
      </c>
      <c r="E7" s="46" t="s">
        <v>196</v>
      </c>
      <c r="F7" s="48"/>
      <c r="I7" s="52" t="s">
        <v>25</v>
      </c>
      <c r="K7">
        <v>1</v>
      </c>
      <c r="L7">
        <v>1</v>
      </c>
      <c r="M7">
        <v>1.5</v>
      </c>
      <c r="T7">
        <v>2</v>
      </c>
      <c r="U7">
        <v>26</v>
      </c>
      <c r="V7" s="53">
        <v>4.5</v>
      </c>
    </row>
    <row r="8" spans="1:22" ht="15" thickBot="1" x14ac:dyDescent="0.4">
      <c r="A8" s="71" t="s">
        <v>26</v>
      </c>
      <c r="B8" s="108" t="s">
        <v>27</v>
      </c>
      <c r="F8" s="1"/>
      <c r="I8" s="52" t="s">
        <v>28</v>
      </c>
      <c r="J8">
        <v>1</v>
      </c>
      <c r="K8">
        <v>1</v>
      </c>
      <c r="L8">
        <v>1</v>
      </c>
      <c r="M8">
        <v>1.5</v>
      </c>
      <c r="T8">
        <v>2</v>
      </c>
      <c r="U8">
        <v>24</v>
      </c>
      <c r="V8" s="53">
        <v>8</v>
      </c>
    </row>
    <row r="9" spans="1:22" x14ac:dyDescent="0.35">
      <c r="A9" s="101" t="s">
        <v>29</v>
      </c>
      <c r="E9" s="62" t="s">
        <v>30</v>
      </c>
      <c r="F9" s="56"/>
      <c r="I9" s="52" t="s">
        <v>31</v>
      </c>
      <c r="O9">
        <v>10</v>
      </c>
      <c r="P9">
        <v>1</v>
      </c>
      <c r="U9">
        <v>2</v>
      </c>
      <c r="V9" s="53"/>
    </row>
    <row r="10" spans="1:22" x14ac:dyDescent="0.35">
      <c r="A10" s="102" t="s">
        <v>32</v>
      </c>
      <c r="B10" s="46" t="s">
        <v>200</v>
      </c>
      <c r="E10" s="57" t="s">
        <v>33</v>
      </c>
      <c r="F10" s="53">
        <f>COUNTIF(A:A, "Fluidics*bcseq01")</f>
        <v>1</v>
      </c>
      <c r="I10" s="52" t="s">
        <v>34</v>
      </c>
      <c r="O10">
        <v>10</v>
      </c>
      <c r="Q10">
        <v>1</v>
      </c>
      <c r="U10">
        <v>2</v>
      </c>
      <c r="V10" s="53"/>
    </row>
    <row r="11" spans="1:22" x14ac:dyDescent="0.35">
      <c r="A11" s="102" t="s">
        <v>35</v>
      </c>
      <c r="B11" t="s">
        <v>201</v>
      </c>
      <c r="E11" s="57" t="s">
        <v>36</v>
      </c>
      <c r="F11" s="53">
        <f>COUNTIF(A:A, "Fluidics*bcseq*")-F10</f>
        <v>14</v>
      </c>
      <c r="I11" s="52" t="s">
        <v>37</v>
      </c>
      <c r="M11">
        <v>1.5</v>
      </c>
      <c r="O11">
        <v>10</v>
      </c>
      <c r="R11">
        <v>1</v>
      </c>
      <c r="T11">
        <v>4</v>
      </c>
      <c r="U11">
        <v>4</v>
      </c>
      <c r="V11" s="53"/>
    </row>
    <row r="12" spans="1:22" x14ac:dyDescent="0.35">
      <c r="A12" s="102" t="s">
        <v>38</v>
      </c>
      <c r="E12" s="58" t="s">
        <v>38</v>
      </c>
      <c r="F12" s="53">
        <f>COUNTIF(A:A,"Fluidics*geneseq01*")</f>
        <v>1</v>
      </c>
      <c r="I12" s="52" t="s">
        <v>39</v>
      </c>
      <c r="N12">
        <v>24</v>
      </c>
      <c r="V12" s="53"/>
    </row>
    <row r="13" spans="1:22" x14ac:dyDescent="0.35">
      <c r="A13" s="102" t="s">
        <v>40</v>
      </c>
      <c r="B13" t="s">
        <v>202</v>
      </c>
      <c r="E13" s="58" t="s">
        <v>41</v>
      </c>
      <c r="F13" s="53">
        <f>COUNTIF(A:A,"Fluidics*geneseq*")-F12</f>
        <v>6</v>
      </c>
      <c r="I13" s="52" t="s">
        <v>42</v>
      </c>
      <c r="O13">
        <v>8</v>
      </c>
      <c r="P13">
        <v>1</v>
      </c>
      <c r="V13" s="53"/>
    </row>
    <row r="14" spans="1:22" x14ac:dyDescent="0.35">
      <c r="A14" s="102" t="s">
        <v>43</v>
      </c>
      <c r="B14" t="s">
        <v>203</v>
      </c>
      <c r="E14" s="58" t="s">
        <v>44</v>
      </c>
      <c r="F14" s="53">
        <f>COUNTIF(A:A, "Fluidics*HYB*")-F15-F20</f>
        <v>0</v>
      </c>
      <c r="I14" s="52" t="s">
        <v>45</v>
      </c>
      <c r="O14">
        <v>8</v>
      </c>
      <c r="Q14">
        <v>1</v>
      </c>
      <c r="U14">
        <v>3</v>
      </c>
      <c r="V14" s="53"/>
    </row>
    <row r="15" spans="1:22" x14ac:dyDescent="0.35">
      <c r="A15" s="102" t="s">
        <v>46</v>
      </c>
      <c r="E15" s="58" t="s">
        <v>47</v>
      </c>
      <c r="F15" s="53">
        <f>COUNTIF(A:A,"Fluidics*HYB_rehyb01")</f>
        <v>1</v>
      </c>
      <c r="I15" s="52" t="s">
        <v>48</v>
      </c>
      <c r="M15">
        <v>1.5</v>
      </c>
      <c r="O15">
        <v>8</v>
      </c>
      <c r="R15">
        <v>1</v>
      </c>
      <c r="T15">
        <v>4</v>
      </c>
      <c r="U15">
        <v>4</v>
      </c>
      <c r="V15" s="53"/>
    </row>
    <row r="16" spans="1:22" ht="15" thickBot="1" x14ac:dyDescent="0.4">
      <c r="A16" s="102" t="s">
        <v>49</v>
      </c>
      <c r="E16" s="58" t="s">
        <v>50</v>
      </c>
      <c r="F16" s="53">
        <f>COUNTIF(A:A,"Fluidics*user_defined*")</f>
        <v>1</v>
      </c>
      <c r="I16" s="54" t="s">
        <v>51</v>
      </c>
      <c r="J16" s="72"/>
      <c r="K16" s="72"/>
      <c r="L16" s="72"/>
      <c r="M16" s="72">
        <v>1.5</v>
      </c>
      <c r="N16" s="72"/>
      <c r="O16" s="72">
        <v>8</v>
      </c>
      <c r="P16" s="72"/>
      <c r="Q16" s="72"/>
      <c r="R16" s="72"/>
      <c r="S16" s="72">
        <v>1</v>
      </c>
      <c r="T16" s="72">
        <v>4</v>
      </c>
      <c r="U16" s="72">
        <v>4</v>
      </c>
      <c r="V16" s="55"/>
    </row>
    <row r="17" spans="1:22" x14ac:dyDescent="0.35">
      <c r="A17" s="102" t="s">
        <v>52</v>
      </c>
      <c r="B17" s="2" t="s">
        <v>204</v>
      </c>
      <c r="E17" s="58" t="s">
        <v>53</v>
      </c>
      <c r="F17" s="53">
        <f>COUNTIF(A:A, "Fluidics_sequence_add_gene_primer*")-F18</f>
        <v>1</v>
      </c>
      <c r="I17" s="95"/>
      <c r="J17" s="95"/>
      <c r="K17" s="95"/>
      <c r="L17" s="95"/>
      <c r="M17" s="95"/>
      <c r="N17" s="95"/>
      <c r="O17" s="95"/>
    </row>
    <row r="18" spans="1:22" ht="15" thickBot="1" x14ac:dyDescent="0.4">
      <c r="A18" s="102" t="s">
        <v>54</v>
      </c>
      <c r="B18" s="2" t="s">
        <v>205</v>
      </c>
      <c r="E18" s="58" t="s">
        <v>55</v>
      </c>
      <c r="F18" s="53">
        <f>COUNTIF(A:A, "Fluidics_sequence_add_gene_primer_rehyb*")</f>
        <v>0</v>
      </c>
      <c r="I18" s="46" t="s">
        <v>198</v>
      </c>
      <c r="J18" s="46"/>
      <c r="K18" s="46"/>
      <c r="L18" s="46"/>
      <c r="M18" s="46"/>
      <c r="N18" s="46"/>
      <c r="O18" s="46"/>
    </row>
    <row r="19" spans="1:22" x14ac:dyDescent="0.35">
      <c r="A19" s="102" t="s">
        <v>56</v>
      </c>
      <c r="B19" s="2"/>
      <c r="E19" s="58" t="s">
        <v>57</v>
      </c>
      <c r="F19" s="53">
        <f>COUNTIF(A:A,"Fluidics_sequence_add_bc_primer*")-F20</f>
        <v>0</v>
      </c>
      <c r="I19" s="59" t="s">
        <v>58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56"/>
    </row>
    <row r="20" spans="1:22" x14ac:dyDescent="0.35">
      <c r="A20" s="102" t="s">
        <v>59</v>
      </c>
      <c r="B20" s="2"/>
      <c r="E20" s="58" t="s">
        <v>60</v>
      </c>
      <c r="F20" s="53">
        <f>COUNTIF(A:A, "Fluidics_sequence_add_bc_primer_rehyb*")</f>
        <v>1</v>
      </c>
      <c r="I20" s="52" t="s">
        <v>20</v>
      </c>
      <c r="J20">
        <f t="shared" ref="J20:J31" si="0">J5*$F28</f>
        <v>0</v>
      </c>
      <c r="K20">
        <f t="shared" ref="K20:V20" si="1">K5*$F28</f>
        <v>3</v>
      </c>
      <c r="L20">
        <f t="shared" si="1"/>
        <v>6</v>
      </c>
      <c r="M20">
        <f t="shared" si="1"/>
        <v>4.5</v>
      </c>
      <c r="N20">
        <f t="shared" si="1"/>
        <v>0</v>
      </c>
      <c r="O20">
        <f t="shared" si="1"/>
        <v>0</v>
      </c>
      <c r="P20">
        <f t="shared" si="1"/>
        <v>0</v>
      </c>
      <c r="Q20">
        <f t="shared" si="1"/>
        <v>0</v>
      </c>
      <c r="R20">
        <f t="shared" si="1"/>
        <v>0</v>
      </c>
      <c r="S20">
        <f>S5*$F28</f>
        <v>0</v>
      </c>
      <c r="T20">
        <f t="shared" si="1"/>
        <v>6</v>
      </c>
      <c r="U20">
        <f t="shared" si="1"/>
        <v>78</v>
      </c>
      <c r="V20" s="53">
        <f t="shared" si="1"/>
        <v>22.5</v>
      </c>
    </row>
    <row r="21" spans="1:22" ht="15" thickBot="1" x14ac:dyDescent="0.4">
      <c r="A21" s="102" t="s">
        <v>61</v>
      </c>
      <c r="B21" s="2"/>
      <c r="E21" s="61" t="s">
        <v>62</v>
      </c>
      <c r="F21" s="55">
        <f>COUNTIF(A:A, "Fluidics_sequence_strip*")</f>
        <v>3</v>
      </c>
      <c r="I21" s="52" t="s">
        <v>23</v>
      </c>
      <c r="J21">
        <f t="shared" si="0"/>
        <v>84</v>
      </c>
      <c r="K21">
        <f t="shared" ref="K21:V21" si="2">K6*$F29</f>
        <v>42</v>
      </c>
      <c r="L21">
        <f t="shared" si="2"/>
        <v>84</v>
      </c>
      <c r="M21">
        <f t="shared" si="2"/>
        <v>63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84</v>
      </c>
      <c r="U21">
        <f t="shared" si="2"/>
        <v>1008</v>
      </c>
      <c r="V21" s="53">
        <f t="shared" si="2"/>
        <v>588</v>
      </c>
    </row>
    <row r="22" spans="1:22" x14ac:dyDescent="0.35">
      <c r="A22" s="102" t="s">
        <v>63</v>
      </c>
      <c r="B22" s="2"/>
      <c r="I22" s="52" t="s">
        <v>25</v>
      </c>
      <c r="J22">
        <f t="shared" si="0"/>
        <v>0</v>
      </c>
      <c r="K22">
        <f t="shared" ref="K22:V22" si="3">K7*$F30</f>
        <v>3</v>
      </c>
      <c r="L22">
        <f t="shared" si="3"/>
        <v>3</v>
      </c>
      <c r="M22">
        <f t="shared" si="3"/>
        <v>4.5</v>
      </c>
      <c r="N22">
        <f t="shared" si="3"/>
        <v>0</v>
      </c>
      <c r="O22">
        <f t="shared" si="3"/>
        <v>0</v>
      </c>
      <c r="P22">
        <f t="shared" si="3"/>
        <v>0</v>
      </c>
      <c r="Q22">
        <f t="shared" si="3"/>
        <v>0</v>
      </c>
      <c r="R22">
        <f t="shared" si="3"/>
        <v>0</v>
      </c>
      <c r="S22">
        <f t="shared" si="3"/>
        <v>0</v>
      </c>
      <c r="T22">
        <f t="shared" si="3"/>
        <v>6</v>
      </c>
      <c r="U22">
        <f t="shared" si="3"/>
        <v>78</v>
      </c>
      <c r="V22" s="53">
        <f t="shared" si="3"/>
        <v>13.5</v>
      </c>
    </row>
    <row r="23" spans="1:22" x14ac:dyDescent="0.35">
      <c r="A23" s="102" t="s">
        <v>64</v>
      </c>
      <c r="I23" s="52" t="s">
        <v>65</v>
      </c>
      <c r="J23">
        <f t="shared" si="0"/>
        <v>18</v>
      </c>
      <c r="K23">
        <f t="shared" ref="K23:V23" si="4">K8*$F31</f>
        <v>18</v>
      </c>
      <c r="L23">
        <f t="shared" si="4"/>
        <v>18</v>
      </c>
      <c r="M23">
        <f t="shared" si="4"/>
        <v>27</v>
      </c>
      <c r="N23">
        <f t="shared" si="4"/>
        <v>0</v>
      </c>
      <c r="O23">
        <f t="shared" si="4"/>
        <v>0</v>
      </c>
      <c r="P23">
        <f t="shared" si="4"/>
        <v>0</v>
      </c>
      <c r="Q23">
        <f t="shared" si="4"/>
        <v>0</v>
      </c>
      <c r="R23">
        <f t="shared" si="4"/>
        <v>0</v>
      </c>
      <c r="S23">
        <f t="shared" si="4"/>
        <v>0</v>
      </c>
      <c r="T23">
        <f t="shared" si="4"/>
        <v>36</v>
      </c>
      <c r="U23">
        <f t="shared" si="4"/>
        <v>432</v>
      </c>
      <c r="V23" s="53">
        <f t="shared" si="4"/>
        <v>144</v>
      </c>
    </row>
    <row r="24" spans="1:22" x14ac:dyDescent="0.35">
      <c r="A24" s="102" t="s">
        <v>66</v>
      </c>
      <c r="I24" s="52" t="s">
        <v>31</v>
      </c>
      <c r="J24">
        <f t="shared" si="0"/>
        <v>0</v>
      </c>
      <c r="K24">
        <f t="shared" ref="K24:V24" si="5">K9*$F32</f>
        <v>0</v>
      </c>
      <c r="L24">
        <f t="shared" si="5"/>
        <v>0</v>
      </c>
      <c r="M24">
        <f t="shared" si="5"/>
        <v>0</v>
      </c>
      <c r="N24">
        <f t="shared" si="5"/>
        <v>0</v>
      </c>
      <c r="O24">
        <f t="shared" si="5"/>
        <v>0</v>
      </c>
      <c r="P24">
        <f t="shared" si="5"/>
        <v>0</v>
      </c>
      <c r="Q24">
        <f t="shared" si="5"/>
        <v>0</v>
      </c>
      <c r="R24">
        <f t="shared" si="5"/>
        <v>0</v>
      </c>
      <c r="S24">
        <f t="shared" si="5"/>
        <v>0</v>
      </c>
      <c r="T24">
        <f t="shared" si="5"/>
        <v>0</v>
      </c>
      <c r="U24">
        <f t="shared" si="5"/>
        <v>0</v>
      </c>
      <c r="V24" s="53">
        <f t="shared" si="5"/>
        <v>0</v>
      </c>
    </row>
    <row r="25" spans="1:22" x14ac:dyDescent="0.35">
      <c r="A25" s="102" t="s">
        <v>67</v>
      </c>
      <c r="I25" s="52" t="s">
        <v>34</v>
      </c>
      <c r="J25">
        <f t="shared" si="0"/>
        <v>0</v>
      </c>
      <c r="K25">
        <f t="shared" ref="K25:V25" si="6">K10*$F33</f>
        <v>0</v>
      </c>
      <c r="L25">
        <f t="shared" si="6"/>
        <v>0</v>
      </c>
      <c r="M25">
        <f t="shared" si="6"/>
        <v>0</v>
      </c>
      <c r="N25">
        <f t="shared" si="6"/>
        <v>0</v>
      </c>
      <c r="O25">
        <f t="shared" si="6"/>
        <v>30</v>
      </c>
      <c r="P25">
        <f t="shared" si="6"/>
        <v>0</v>
      </c>
      <c r="Q25">
        <f t="shared" si="6"/>
        <v>3</v>
      </c>
      <c r="R25">
        <f t="shared" si="6"/>
        <v>0</v>
      </c>
      <c r="S25">
        <f t="shared" si="6"/>
        <v>0</v>
      </c>
      <c r="T25">
        <f t="shared" si="6"/>
        <v>0</v>
      </c>
      <c r="U25">
        <f t="shared" si="6"/>
        <v>6</v>
      </c>
      <c r="V25" s="53">
        <f t="shared" si="6"/>
        <v>0</v>
      </c>
    </row>
    <row r="26" spans="1:22" ht="15" thickBot="1" x14ac:dyDescent="0.4">
      <c r="A26" s="102" t="s">
        <v>68</v>
      </c>
      <c r="F26" s="1"/>
      <c r="I26" s="52" t="s">
        <v>37</v>
      </c>
      <c r="J26">
        <f t="shared" si="0"/>
        <v>0</v>
      </c>
      <c r="K26">
        <f t="shared" ref="K26:V26" si="7">K11*$F34</f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0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 s="53">
        <f t="shared" si="7"/>
        <v>0</v>
      </c>
    </row>
    <row r="27" spans="1:22" x14ac:dyDescent="0.35">
      <c r="A27" s="102" t="s">
        <v>69</v>
      </c>
      <c r="E27" s="62" t="s">
        <v>70</v>
      </c>
      <c r="F27" s="74" t="s">
        <v>71</v>
      </c>
      <c r="I27" s="52" t="s">
        <v>39</v>
      </c>
      <c r="J27">
        <f t="shared" si="0"/>
        <v>0</v>
      </c>
      <c r="K27">
        <f t="shared" ref="K27:V27" si="8">K12*$F35</f>
        <v>0</v>
      </c>
      <c r="L27">
        <f t="shared" si="8"/>
        <v>0</v>
      </c>
      <c r="M27">
        <f t="shared" si="8"/>
        <v>0</v>
      </c>
      <c r="N27">
        <f t="shared" si="8"/>
        <v>216</v>
      </c>
      <c r="O27">
        <f t="shared" si="8"/>
        <v>0</v>
      </c>
      <c r="P27">
        <f t="shared" si="8"/>
        <v>0</v>
      </c>
      <c r="Q27">
        <f t="shared" si="8"/>
        <v>0</v>
      </c>
      <c r="R27">
        <f t="shared" si="8"/>
        <v>0</v>
      </c>
      <c r="S27">
        <f t="shared" si="8"/>
        <v>0</v>
      </c>
      <c r="T27">
        <f t="shared" si="8"/>
        <v>0</v>
      </c>
      <c r="U27">
        <f t="shared" si="8"/>
        <v>0</v>
      </c>
      <c r="V27" s="53">
        <f t="shared" si="8"/>
        <v>0</v>
      </c>
    </row>
    <row r="28" spans="1:22" x14ac:dyDescent="0.35">
      <c r="A28" s="102" t="s">
        <v>72</v>
      </c>
      <c r="E28" s="57" t="s">
        <v>33</v>
      </c>
      <c r="F28" s="53">
        <f>F10*$B$4</f>
        <v>3</v>
      </c>
      <c r="I28" s="52" t="s">
        <v>42</v>
      </c>
      <c r="J28">
        <f t="shared" si="0"/>
        <v>0</v>
      </c>
      <c r="K28">
        <f t="shared" ref="K28:V28" si="9">K13*$F36</f>
        <v>0</v>
      </c>
      <c r="L28">
        <f t="shared" si="9"/>
        <v>0</v>
      </c>
      <c r="M28">
        <f t="shared" si="9"/>
        <v>0</v>
      </c>
      <c r="N28">
        <f t="shared" si="9"/>
        <v>0</v>
      </c>
      <c r="O28">
        <f t="shared" si="9"/>
        <v>24</v>
      </c>
      <c r="P28">
        <f t="shared" si="9"/>
        <v>3</v>
      </c>
      <c r="Q28">
        <f t="shared" si="9"/>
        <v>0</v>
      </c>
      <c r="R28">
        <f t="shared" si="9"/>
        <v>0</v>
      </c>
      <c r="S28">
        <f t="shared" si="9"/>
        <v>0</v>
      </c>
      <c r="T28">
        <f t="shared" si="9"/>
        <v>0</v>
      </c>
      <c r="U28">
        <f t="shared" si="9"/>
        <v>0</v>
      </c>
      <c r="V28" s="53">
        <f t="shared" si="9"/>
        <v>0</v>
      </c>
    </row>
    <row r="29" spans="1:22" x14ac:dyDescent="0.35">
      <c r="A29" s="102" t="s">
        <v>73</v>
      </c>
      <c r="E29" s="57" t="s">
        <v>36</v>
      </c>
      <c r="F29" s="53">
        <f>F11*$B$4</f>
        <v>42</v>
      </c>
      <c r="I29" s="52" t="s">
        <v>45</v>
      </c>
      <c r="J29">
        <f t="shared" si="0"/>
        <v>0</v>
      </c>
      <c r="K29">
        <f t="shared" ref="K29:V29" si="10">K14*$F37</f>
        <v>0</v>
      </c>
      <c r="L29">
        <f t="shared" si="10"/>
        <v>0</v>
      </c>
      <c r="M29">
        <f t="shared" si="10"/>
        <v>0</v>
      </c>
      <c r="N29">
        <f t="shared" si="10"/>
        <v>0</v>
      </c>
      <c r="O29">
        <f t="shared" si="10"/>
        <v>0</v>
      </c>
      <c r="P29">
        <f t="shared" si="10"/>
        <v>0</v>
      </c>
      <c r="Q29">
        <f t="shared" si="10"/>
        <v>0</v>
      </c>
      <c r="R29">
        <f t="shared" si="10"/>
        <v>0</v>
      </c>
      <c r="S29">
        <f t="shared" si="10"/>
        <v>0</v>
      </c>
      <c r="T29">
        <f t="shared" si="10"/>
        <v>0</v>
      </c>
      <c r="U29">
        <f t="shared" si="10"/>
        <v>0</v>
      </c>
      <c r="V29" s="53">
        <f t="shared" si="10"/>
        <v>0</v>
      </c>
    </row>
    <row r="30" spans="1:22" x14ac:dyDescent="0.35">
      <c r="A30" s="102" t="s">
        <v>74</v>
      </c>
      <c r="E30" s="58" t="s">
        <v>38</v>
      </c>
      <c r="F30" s="53">
        <f>F12*$B$4</f>
        <v>3</v>
      </c>
      <c r="I30" s="52" t="s">
        <v>75</v>
      </c>
      <c r="J30">
        <f t="shared" si="0"/>
        <v>0</v>
      </c>
      <c r="K30">
        <f t="shared" ref="K30:V31" si="11">K15*$F38</f>
        <v>0</v>
      </c>
      <c r="L30">
        <f t="shared" si="11"/>
        <v>0</v>
      </c>
      <c r="M30">
        <f t="shared" si="11"/>
        <v>4.5</v>
      </c>
      <c r="N30">
        <f t="shared" si="11"/>
        <v>0</v>
      </c>
      <c r="O30">
        <f t="shared" si="11"/>
        <v>24</v>
      </c>
      <c r="P30">
        <f t="shared" si="11"/>
        <v>0</v>
      </c>
      <c r="Q30">
        <f t="shared" si="11"/>
        <v>0</v>
      </c>
      <c r="R30">
        <f t="shared" si="11"/>
        <v>3</v>
      </c>
      <c r="S30">
        <f t="shared" si="11"/>
        <v>0</v>
      </c>
      <c r="T30">
        <f t="shared" si="11"/>
        <v>12</v>
      </c>
      <c r="U30">
        <f t="shared" si="11"/>
        <v>12</v>
      </c>
      <c r="V30" s="53">
        <f t="shared" si="11"/>
        <v>0</v>
      </c>
    </row>
    <row r="31" spans="1:22" ht="15" thickBot="1" x14ac:dyDescent="0.4">
      <c r="A31" s="102" t="s">
        <v>76</v>
      </c>
      <c r="E31" s="58" t="s">
        <v>41</v>
      </c>
      <c r="F31" s="53">
        <f>F13*$B$4</f>
        <v>18</v>
      </c>
      <c r="I31" s="54" t="s">
        <v>51</v>
      </c>
      <c r="J31" s="96">
        <f t="shared" si="0"/>
        <v>0</v>
      </c>
      <c r="K31" s="96">
        <f t="shared" si="11"/>
        <v>0</v>
      </c>
      <c r="L31" s="96">
        <f t="shared" si="11"/>
        <v>0</v>
      </c>
      <c r="M31" s="96">
        <f t="shared" si="11"/>
        <v>4.5</v>
      </c>
      <c r="N31" s="96">
        <f t="shared" si="11"/>
        <v>0</v>
      </c>
      <c r="O31" s="96">
        <f t="shared" si="11"/>
        <v>24</v>
      </c>
      <c r="P31" s="96">
        <f t="shared" si="11"/>
        <v>0</v>
      </c>
      <c r="Q31" s="96">
        <f t="shared" si="11"/>
        <v>0</v>
      </c>
      <c r="R31" s="96">
        <f t="shared" si="11"/>
        <v>0</v>
      </c>
      <c r="S31" s="96">
        <f t="shared" si="11"/>
        <v>3</v>
      </c>
      <c r="T31" s="96">
        <f t="shared" si="11"/>
        <v>12</v>
      </c>
      <c r="U31" s="96">
        <f t="shared" si="11"/>
        <v>12</v>
      </c>
      <c r="V31" s="97">
        <f t="shared" si="11"/>
        <v>0</v>
      </c>
    </row>
    <row r="32" spans="1:22" x14ac:dyDescent="0.35">
      <c r="A32" s="102" t="s">
        <v>33</v>
      </c>
      <c r="E32" s="52" t="s">
        <v>31</v>
      </c>
      <c r="F32" s="75">
        <f>F18*B4</f>
        <v>0</v>
      </c>
    </row>
    <row r="33" spans="1:22" x14ac:dyDescent="0.35">
      <c r="A33" s="102" t="s">
        <v>77</v>
      </c>
      <c r="E33" s="52" t="s">
        <v>34</v>
      </c>
      <c r="F33" s="75">
        <f>F17*B4</f>
        <v>3</v>
      </c>
    </row>
    <row r="34" spans="1:22" ht="15" thickBot="1" x14ac:dyDescent="0.4">
      <c r="A34" s="102" t="s">
        <v>78</v>
      </c>
      <c r="E34" s="52" t="s">
        <v>37</v>
      </c>
      <c r="F34" s="75">
        <f>F14*B4</f>
        <v>0</v>
      </c>
      <c r="I34" s="46" t="s">
        <v>199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</row>
    <row r="35" spans="1:22" ht="29" x14ac:dyDescent="0.35">
      <c r="A35" s="102" t="s">
        <v>79</v>
      </c>
      <c r="E35" s="52" t="s">
        <v>39</v>
      </c>
      <c r="F35" s="75">
        <f>F21*B4</f>
        <v>9</v>
      </c>
      <c r="I35" s="63"/>
      <c r="J35" s="64" t="s">
        <v>5</v>
      </c>
      <c r="K35" s="64" t="s">
        <v>6</v>
      </c>
      <c r="L35" s="64" t="s">
        <v>7</v>
      </c>
      <c r="M35" s="64" t="s">
        <v>8</v>
      </c>
      <c r="N35" s="64" t="s">
        <v>9</v>
      </c>
      <c r="O35" s="64" t="s">
        <v>10</v>
      </c>
      <c r="P35" s="64" t="s">
        <v>11</v>
      </c>
      <c r="Q35" s="64" t="s">
        <v>12</v>
      </c>
      <c r="R35" s="64" t="s">
        <v>80</v>
      </c>
      <c r="S35" s="64" t="s">
        <v>81</v>
      </c>
      <c r="T35" s="64" t="s">
        <v>82</v>
      </c>
      <c r="U35" s="64" t="s">
        <v>83</v>
      </c>
      <c r="V35" s="65" t="s">
        <v>17</v>
      </c>
    </row>
    <row r="36" spans="1:22" x14ac:dyDescent="0.35">
      <c r="A36" s="102" t="s">
        <v>84</v>
      </c>
      <c r="E36" s="52" t="s">
        <v>42</v>
      </c>
      <c r="F36" s="75">
        <f>F20*B4</f>
        <v>3</v>
      </c>
      <c r="I36" s="66"/>
      <c r="J36" s="73">
        <f>(ROUNDUP((SUM(J20:J31)*1.05),0))+(1*B4)+2</f>
        <v>113</v>
      </c>
      <c r="K36" s="73">
        <f>ROUNDUP((SUM(K20:K31)*1.05), 0)+(1*B4)+10</f>
        <v>83</v>
      </c>
      <c r="L36" s="73">
        <f>ROUNDUP((SUM(L20:L31)*1.05), 0)+(1*B4)+2</f>
        <v>122</v>
      </c>
      <c r="M36" s="73">
        <f>ROUNDUP((SUM(M20:M31)*1.05), 0)+(1*B4)+4</f>
        <v>121</v>
      </c>
      <c r="N36" s="73">
        <f>ROUNDUP((SUM(N20:N31)*1.05), 0)+15</f>
        <v>242</v>
      </c>
      <c r="O36" s="73">
        <f>ROUNDUP((SUM(O20:O31)*1.1), -1)+15</f>
        <v>135</v>
      </c>
      <c r="P36" s="73">
        <f>ROUNDUP((SUM(P20:P30)*1.05), 0)+(1*B4)+1</f>
        <v>8</v>
      </c>
      <c r="Q36" s="73">
        <f>ROUNDUP((SUM(Q20:Q30)*1.05), 0)+(1*B4)+1</f>
        <v>8</v>
      </c>
      <c r="R36" s="73">
        <f>ROUNDUP((SUM(R20:R30)*1.05), 0)+(1*B4)+1</f>
        <v>8</v>
      </c>
      <c r="S36" s="73">
        <f>ROUNDUP((SUM(S20:S31)*1.05), 0)+(1*$B$4)+1</f>
        <v>8</v>
      </c>
      <c r="T36" s="73">
        <f>ROUNDUP((SUM(T20:T31)*1.05), 0)+25</f>
        <v>189</v>
      </c>
      <c r="U36" s="73">
        <f>ROUNDUP((SUM(U20:U31)*1.1)+50, -2)</f>
        <v>1900</v>
      </c>
      <c r="V36" s="67">
        <f>CEILING((SUM(V20:V31)*1.1+50)/500,1)*500</f>
        <v>1000</v>
      </c>
    </row>
    <row r="37" spans="1:22" ht="15" thickBot="1" x14ac:dyDescent="0.4">
      <c r="A37" s="102" t="s">
        <v>85</v>
      </c>
      <c r="E37" s="52" t="s">
        <v>45</v>
      </c>
      <c r="F37" s="75">
        <f>F18*B4</f>
        <v>0</v>
      </c>
      <c r="I37" s="68" t="s">
        <v>86</v>
      </c>
      <c r="J37" s="69">
        <f>IF(J36=((1*$B$4)+1), 0,J36)</f>
        <v>113</v>
      </c>
      <c r="K37" s="69">
        <f t="shared" ref="K37:V37" si="12">IF(K36=((1*$B$4)+1), 0,K36)</f>
        <v>83</v>
      </c>
      <c r="L37" s="69">
        <f t="shared" si="12"/>
        <v>122</v>
      </c>
      <c r="M37" s="69">
        <f t="shared" si="12"/>
        <v>121</v>
      </c>
      <c r="N37" s="69">
        <f>IF(N36=15, 0,N36)</f>
        <v>242</v>
      </c>
      <c r="O37" s="69">
        <f>IF(O36=15, 0,O36)</f>
        <v>135</v>
      </c>
      <c r="P37" s="69">
        <f>IF(P36=((1*$B$4)+1), 0,P36)</f>
        <v>8</v>
      </c>
      <c r="Q37" s="69">
        <f t="shared" si="12"/>
        <v>8</v>
      </c>
      <c r="R37" s="69">
        <f t="shared" si="12"/>
        <v>8</v>
      </c>
      <c r="S37" s="69">
        <f t="shared" si="12"/>
        <v>8</v>
      </c>
      <c r="T37" s="69">
        <f>IF(T36=15, 0,T36)</f>
        <v>189</v>
      </c>
      <c r="U37" s="69">
        <f t="shared" si="12"/>
        <v>1900</v>
      </c>
      <c r="V37" s="70">
        <f t="shared" si="12"/>
        <v>1000</v>
      </c>
    </row>
    <row r="38" spans="1:22" x14ac:dyDescent="0.35">
      <c r="A38" s="102" t="s">
        <v>87</v>
      </c>
      <c r="E38" s="52" t="s">
        <v>75</v>
      </c>
      <c r="F38" s="75">
        <f>F15*B4</f>
        <v>3</v>
      </c>
    </row>
    <row r="39" spans="1:22" ht="15" thickBot="1" x14ac:dyDescent="0.4">
      <c r="A39" s="102" t="s">
        <v>88</v>
      </c>
      <c r="E39" s="54" t="s">
        <v>51</v>
      </c>
      <c r="F39" s="76">
        <f>F16*B4</f>
        <v>3</v>
      </c>
    </row>
    <row r="40" spans="1:22" x14ac:dyDescent="0.35">
      <c r="A40" s="102" t="s">
        <v>89</v>
      </c>
      <c r="I40" s="62" t="s">
        <v>90</v>
      </c>
      <c r="J40" s="56"/>
    </row>
    <row r="41" spans="1:22" x14ac:dyDescent="0.35">
      <c r="A41" s="102" t="s">
        <v>91</v>
      </c>
      <c r="I41" s="52" t="s">
        <v>92</v>
      </c>
      <c r="J41" s="53">
        <f>ROUNDUP(L37/21,0)</f>
        <v>6</v>
      </c>
    </row>
    <row r="42" spans="1:22" x14ac:dyDescent="0.35">
      <c r="A42" s="102" t="s">
        <v>93</v>
      </c>
      <c r="I42" s="52" t="s">
        <v>94</v>
      </c>
      <c r="J42" s="53">
        <f>ROUNDUP(J37/21, 0)</f>
        <v>6</v>
      </c>
    </row>
    <row r="43" spans="1:22" x14ac:dyDescent="0.35">
      <c r="A43" s="102" t="s">
        <v>95</v>
      </c>
      <c r="I43" s="52" t="s">
        <v>96</v>
      </c>
      <c r="J43" s="53">
        <f>ROUNDUP(M37/30,0)</f>
        <v>5</v>
      </c>
    </row>
    <row r="44" spans="1:22" x14ac:dyDescent="0.35">
      <c r="A44" s="102" t="s">
        <v>97</v>
      </c>
      <c r="I44" s="52"/>
      <c r="J44" s="53"/>
    </row>
    <row r="45" spans="1:22" x14ac:dyDescent="0.35">
      <c r="A45" s="102" t="s">
        <v>98</v>
      </c>
      <c r="I45" s="52" t="s">
        <v>99</v>
      </c>
      <c r="J45" s="53">
        <f>U37+T37+K37</f>
        <v>2172</v>
      </c>
    </row>
    <row r="46" spans="1:22" x14ac:dyDescent="0.35">
      <c r="A46" s="102" t="s">
        <v>100</v>
      </c>
      <c r="I46" s="52" t="s">
        <v>101</v>
      </c>
      <c r="J46" s="53">
        <f>O37+P37+Q37+R37</f>
        <v>159</v>
      </c>
    </row>
    <row r="47" spans="1:22" x14ac:dyDescent="0.35">
      <c r="A47" s="102" t="s">
        <v>102</v>
      </c>
      <c r="I47" s="52" t="s">
        <v>103</v>
      </c>
      <c r="J47" s="53" t="str">
        <f>ROUND(K37*(9.3/3.5),1) &amp; " mg"</f>
        <v>220.5 mg</v>
      </c>
    </row>
    <row r="48" spans="1:22" x14ac:dyDescent="0.35">
      <c r="A48" s="102" t="s">
        <v>104</v>
      </c>
      <c r="I48" s="52" t="s">
        <v>105</v>
      </c>
      <c r="J48" s="53" t="str">
        <f>L37*5 &amp; " uL"</f>
        <v>610 uL</v>
      </c>
    </row>
    <row r="49" spans="1:10" x14ac:dyDescent="0.35">
      <c r="A49" s="102" t="s">
        <v>106</v>
      </c>
      <c r="I49" s="52" t="s">
        <v>82</v>
      </c>
      <c r="J49" s="53" t="str">
        <f>T37*2 &amp; " uL"</f>
        <v>378 uL</v>
      </c>
    </row>
    <row r="50" spans="1:10" x14ac:dyDescent="0.35">
      <c r="A50" s="102" t="s">
        <v>107</v>
      </c>
      <c r="I50" s="52" t="s">
        <v>108</v>
      </c>
      <c r="J50" s="53" t="str">
        <f>Q37*10 &amp; " uL"</f>
        <v>80 uL</v>
      </c>
    </row>
    <row r="51" spans="1:10" x14ac:dyDescent="0.35">
      <c r="A51" s="102" t="s">
        <v>109</v>
      </c>
      <c r="I51" s="52" t="s">
        <v>110</v>
      </c>
      <c r="J51" s="53" t="str">
        <f>P37*10 &amp; " uL"</f>
        <v>80 uL</v>
      </c>
    </row>
    <row r="52" spans="1:10" ht="15" thickBot="1" x14ac:dyDescent="0.4">
      <c r="A52" s="102" t="s">
        <v>111</v>
      </c>
      <c r="I52" s="54" t="s">
        <v>112</v>
      </c>
      <c r="J52" s="55" t="str">
        <f>R37*2.5 &amp; " uL, each oligo"</f>
        <v>20 uL, each oligo</v>
      </c>
    </row>
    <row r="53" spans="1:10" x14ac:dyDescent="0.35">
      <c r="A53" s="102" t="s">
        <v>113</v>
      </c>
    </row>
    <row r="54" spans="1:10" x14ac:dyDescent="0.35">
      <c r="A54" s="102" t="s">
        <v>114</v>
      </c>
    </row>
    <row r="55" spans="1:10" x14ac:dyDescent="0.35">
      <c r="A55" s="102" t="s">
        <v>115</v>
      </c>
    </row>
    <row r="56" spans="1:10" x14ac:dyDescent="0.35">
      <c r="A56" s="102" t="s">
        <v>116</v>
      </c>
    </row>
    <row r="57" spans="1:10" x14ac:dyDescent="0.35">
      <c r="A57" s="102" t="s">
        <v>117</v>
      </c>
    </row>
    <row r="58" spans="1:10" x14ac:dyDescent="0.35">
      <c r="A58" s="102" t="s">
        <v>118</v>
      </c>
    </row>
    <row r="59" spans="1:10" x14ac:dyDescent="0.35">
      <c r="A59" s="102" t="s">
        <v>119</v>
      </c>
    </row>
    <row r="60" spans="1:10" x14ac:dyDescent="0.35">
      <c r="A60" s="102" t="s">
        <v>120</v>
      </c>
    </row>
    <row r="61" spans="1:10" x14ac:dyDescent="0.35">
      <c r="A61" s="102" t="s">
        <v>121</v>
      </c>
    </row>
    <row r="62" spans="1:10" x14ac:dyDescent="0.35">
      <c r="A62" s="102" t="s">
        <v>122</v>
      </c>
      <c r="B62" s="46" t="s">
        <v>194</v>
      </c>
      <c r="C62" s="46"/>
      <c r="D62" s="46"/>
      <c r="E62" s="46"/>
    </row>
    <row r="63" spans="1:10" x14ac:dyDescent="0.35">
      <c r="A63" s="102" t="s">
        <v>123</v>
      </c>
      <c r="B63" s="46" t="s">
        <v>195</v>
      </c>
      <c r="C63" s="46"/>
      <c r="D63" s="46"/>
      <c r="E63" s="46"/>
    </row>
    <row r="64" spans="1:10" x14ac:dyDescent="0.35">
      <c r="A64" s="102" t="s">
        <v>124</v>
      </c>
    </row>
    <row r="65" spans="1:1" x14ac:dyDescent="0.35">
      <c r="A65" s="102"/>
    </row>
    <row r="66" spans="1:1" x14ac:dyDescent="0.35">
      <c r="A66" s="79"/>
    </row>
    <row r="67" spans="1:1" x14ac:dyDescent="0.35">
      <c r="A67" s="79"/>
    </row>
    <row r="68" spans="1:1" x14ac:dyDescent="0.35">
      <c r="A68" s="79"/>
    </row>
    <row r="69" spans="1:1" x14ac:dyDescent="0.35">
      <c r="A69" s="79"/>
    </row>
    <row r="70" spans="1:1" x14ac:dyDescent="0.35">
      <c r="A70" s="79"/>
    </row>
    <row r="71" spans="1:1" x14ac:dyDescent="0.35">
      <c r="A71" s="79"/>
    </row>
    <row r="72" spans="1:1" x14ac:dyDescent="0.35">
      <c r="A72" s="79"/>
    </row>
    <row r="73" spans="1:1" x14ac:dyDescent="0.35">
      <c r="A73" s="79"/>
    </row>
    <row r="74" spans="1:1" x14ac:dyDescent="0.35">
      <c r="A74" s="79"/>
    </row>
    <row r="75" spans="1:1" x14ac:dyDescent="0.35">
      <c r="A75" s="79"/>
    </row>
    <row r="76" spans="1:1" x14ac:dyDescent="0.35">
      <c r="A76" s="79"/>
    </row>
    <row r="77" spans="1:1" x14ac:dyDescent="0.35">
      <c r="A77" s="79"/>
    </row>
    <row r="78" spans="1:1" x14ac:dyDescent="0.35">
      <c r="A78" s="79"/>
    </row>
    <row r="79" spans="1:1" x14ac:dyDescent="0.35">
      <c r="A79" s="79"/>
    </row>
    <row r="80" spans="1:1" x14ac:dyDescent="0.35">
      <c r="A80" s="79"/>
    </row>
    <row r="81" spans="1:1" x14ac:dyDescent="0.35">
      <c r="A81" s="79"/>
    </row>
    <row r="82" spans="1:1" x14ac:dyDescent="0.35">
      <c r="A82" s="79"/>
    </row>
    <row r="83" spans="1:1" x14ac:dyDescent="0.35">
      <c r="A83" s="79"/>
    </row>
    <row r="84" spans="1:1" x14ac:dyDescent="0.35">
      <c r="A84" s="79"/>
    </row>
    <row r="85" spans="1:1" x14ac:dyDescent="0.35">
      <c r="A85" s="79"/>
    </row>
    <row r="86" spans="1:1" x14ac:dyDescent="0.35">
      <c r="A86" s="79"/>
    </row>
    <row r="87" spans="1:1" x14ac:dyDescent="0.35">
      <c r="A87" s="79"/>
    </row>
    <row r="88" spans="1:1" x14ac:dyDescent="0.35">
      <c r="A88" s="78"/>
    </row>
    <row r="89" spans="1:1" x14ac:dyDescent="0.35">
      <c r="A89" s="78"/>
    </row>
  </sheetData>
  <phoneticPr fontId="5" type="noConversion"/>
  <conditionalFormatting sqref="J36:W36">
    <cfRule type="cellIs" dxfId="3" priority="1" operator="equal">
      <formula>3</formula>
    </cfRule>
    <cfRule type="cellIs" dxfId="2" priority="2" operator="equal">
      <formula>1</formula>
    </cfRule>
  </conditionalFormatting>
  <conditionalFormatting sqref="W37">
    <cfRule type="cellIs" dxfId="1" priority="3" operator="equal">
      <formula>3</formula>
    </cfRule>
    <cfRule type="cellIs" dxfId="0" priority="4" operator="equal">
      <formula>1</formula>
    </cfRule>
  </conditionalFormatting>
  <printOptions horizontalCentered="1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8194-77C7-477E-91F8-F337CAD42085}">
  <dimension ref="A1:L67"/>
  <sheetViews>
    <sheetView topLeftCell="A31" zoomScaleNormal="100" zoomScaleSheetLayoutView="110" workbookViewId="0">
      <selection activeCell="G60" sqref="G60"/>
    </sheetView>
  </sheetViews>
  <sheetFormatPr defaultColWidth="8.81640625" defaultRowHeight="14.5" x14ac:dyDescent="0.35"/>
  <cols>
    <col min="1" max="1" width="19.1796875" style="39" customWidth="1"/>
    <col min="2" max="2" width="47.1796875" style="3" customWidth="1"/>
    <col min="3" max="3" width="10.453125" style="23" customWidth="1"/>
    <col min="7" max="8" width="10.81640625" customWidth="1"/>
    <col min="9" max="9" width="11.7265625" customWidth="1"/>
  </cols>
  <sheetData>
    <row r="1" spans="1:12" x14ac:dyDescent="0.35">
      <c r="A1" s="93"/>
      <c r="B1" s="93"/>
      <c r="C1" s="93"/>
      <c r="D1" s="93"/>
    </row>
    <row r="2" spans="1:12" x14ac:dyDescent="0.35">
      <c r="A2" s="39" t="s">
        <v>125</v>
      </c>
      <c r="B2" s="3" t="str">
        <f>Calculator!B3</f>
        <v>2026XXXX_[Condition]_[Slide_Numbers]_[SampleName]</v>
      </c>
      <c r="G2" s="46" t="s">
        <v>126</v>
      </c>
      <c r="H2" s="46"/>
    </row>
    <row r="3" spans="1:12" ht="29" x14ac:dyDescent="0.35">
      <c r="A3" s="39" t="s">
        <v>127</v>
      </c>
      <c r="B3" s="3" t="str">
        <f>Calculator!B2</f>
        <v>2026XXXX</v>
      </c>
      <c r="G3" s="24" t="s">
        <v>5</v>
      </c>
      <c r="H3" s="25" t="s">
        <v>6</v>
      </c>
      <c r="I3" s="25" t="s">
        <v>7</v>
      </c>
      <c r="J3" s="25" t="s">
        <v>8</v>
      </c>
      <c r="K3" s="25" t="s">
        <v>9</v>
      </c>
      <c r="L3" s="26" t="s">
        <v>10</v>
      </c>
    </row>
    <row r="4" spans="1:12" ht="16" thickBot="1" x14ac:dyDescent="0.4">
      <c r="A4" s="94" t="s">
        <v>128</v>
      </c>
      <c r="B4" s="94"/>
      <c r="C4" s="94"/>
      <c r="D4" s="94"/>
      <c r="G4" s="27">
        <f>Calculator!J37</f>
        <v>113</v>
      </c>
      <c r="H4" s="28">
        <f>Calculator!K37</f>
        <v>83</v>
      </c>
      <c r="I4" s="28">
        <f>Calculator!L37</f>
        <v>122</v>
      </c>
      <c r="J4" s="28">
        <f>Calculator!M37</f>
        <v>121</v>
      </c>
      <c r="K4" s="28">
        <f>Calculator!N37</f>
        <v>242</v>
      </c>
      <c r="L4" s="29">
        <f>Calculator!O37</f>
        <v>135</v>
      </c>
    </row>
    <row r="5" spans="1:12" ht="31" x14ac:dyDescent="0.35">
      <c r="A5" s="40" t="s">
        <v>129</v>
      </c>
      <c r="B5" s="4" t="s">
        <v>130</v>
      </c>
      <c r="C5" s="87"/>
      <c r="D5" s="88"/>
      <c r="G5" s="24" t="s">
        <v>11</v>
      </c>
      <c r="H5" s="25" t="s">
        <v>12</v>
      </c>
      <c r="I5" s="25" t="s">
        <v>131</v>
      </c>
      <c r="J5" s="25" t="s">
        <v>82</v>
      </c>
      <c r="K5" s="25" t="s">
        <v>83</v>
      </c>
      <c r="L5" s="26" t="s">
        <v>17</v>
      </c>
    </row>
    <row r="6" spans="1:12" ht="31" x14ac:dyDescent="0.35">
      <c r="A6" s="41" t="s">
        <v>132</v>
      </c>
      <c r="B6" s="8" t="s">
        <v>133</v>
      </c>
      <c r="C6" s="83" t="s">
        <v>134</v>
      </c>
      <c r="D6" s="84"/>
      <c r="G6" s="27">
        <f>Calculator!P37</f>
        <v>8</v>
      </c>
      <c r="H6" s="28">
        <f>Calculator!Q37</f>
        <v>8</v>
      </c>
      <c r="I6" s="28">
        <f>Calculator!R37</f>
        <v>8</v>
      </c>
      <c r="J6" s="28">
        <f>Calculator!T37</f>
        <v>189</v>
      </c>
      <c r="K6" s="28">
        <f>Calculator!U37</f>
        <v>1900</v>
      </c>
      <c r="L6" s="29">
        <f>Calculator!V37</f>
        <v>1000</v>
      </c>
    </row>
    <row r="7" spans="1:12" x14ac:dyDescent="0.35">
      <c r="A7" s="41"/>
      <c r="B7" s="6" t="s">
        <v>135</v>
      </c>
      <c r="C7" s="33">
        <f>Calculator!J41</f>
        <v>6</v>
      </c>
      <c r="D7" s="9"/>
      <c r="H7" s="23"/>
      <c r="I7" s="23"/>
      <c r="J7" s="23"/>
      <c r="K7" s="23"/>
      <c r="L7" s="23"/>
    </row>
    <row r="8" spans="1:12" x14ac:dyDescent="0.35">
      <c r="A8" s="41"/>
      <c r="B8" s="6" t="s">
        <v>136</v>
      </c>
      <c r="C8" s="33">
        <f>Calculator!J42</f>
        <v>6</v>
      </c>
      <c r="D8" s="9"/>
      <c r="H8" s="23"/>
      <c r="I8" s="23"/>
      <c r="J8" s="23"/>
      <c r="K8" s="23"/>
      <c r="L8" s="23"/>
    </row>
    <row r="9" spans="1:12" x14ac:dyDescent="0.35">
      <c r="A9" s="41"/>
      <c r="B9" s="6" t="s">
        <v>137</v>
      </c>
      <c r="C9" s="33">
        <f>Calculator!J43</f>
        <v>5</v>
      </c>
      <c r="D9" s="10"/>
    </row>
    <row r="10" spans="1:12" ht="44" thickBot="1" x14ac:dyDescent="0.4">
      <c r="A10" s="40" t="s">
        <v>138</v>
      </c>
      <c r="B10" s="7" t="s">
        <v>139</v>
      </c>
      <c r="C10" s="34"/>
      <c r="D10" s="13"/>
    </row>
    <row r="11" spans="1:12" ht="16" thickBot="1" x14ac:dyDescent="0.4">
      <c r="A11" s="41" t="s">
        <v>140</v>
      </c>
      <c r="B11" s="8" t="s">
        <v>208</v>
      </c>
      <c r="C11" s="83" t="s">
        <v>141</v>
      </c>
      <c r="D11" s="86"/>
    </row>
    <row r="12" spans="1:12" ht="15" thickBot="1" x14ac:dyDescent="0.4">
      <c r="A12" s="41"/>
      <c r="B12" s="6" t="s">
        <v>10</v>
      </c>
      <c r="C12" s="33" t="str">
        <f>ROUNDUP((Calculator!O37+Calculator!P37+Calculator!Q37+Calculator!R37)*1.05,0)&amp;" mL"</f>
        <v>167 mL</v>
      </c>
      <c r="D12" s="14"/>
    </row>
    <row r="13" spans="1:12" ht="15" thickBot="1" x14ac:dyDescent="0.4">
      <c r="A13" s="41"/>
      <c r="B13" s="6" t="s">
        <v>39</v>
      </c>
      <c r="C13" s="33" t="str">
        <f>ROUNDUP((Calculator!N37)*1.05,0)&amp;" mL"</f>
        <v>255 mL</v>
      </c>
      <c r="D13" s="9"/>
    </row>
    <row r="14" spans="1:12" ht="15" thickBot="1" x14ac:dyDescent="0.4">
      <c r="A14" s="41"/>
      <c r="B14" s="6" t="s">
        <v>142</v>
      </c>
      <c r="C14" s="33" t="str">
        <f>ROUNDUP((Calculator!K37+Calculator!U37+Calculator!T37)*1.05,-1)&amp;" mL"</f>
        <v>2290 mL</v>
      </c>
      <c r="D14" s="10"/>
    </row>
    <row r="15" spans="1:12" ht="15" thickBot="1" x14ac:dyDescent="0.4">
      <c r="A15" s="41"/>
      <c r="B15" s="6" t="s">
        <v>143</v>
      </c>
      <c r="C15" s="33" t="str">
        <f>ROUNDUP((Calculator!V37)*1.1,-1)&amp;" mL"</f>
        <v>1100 mL</v>
      </c>
      <c r="D15" s="9"/>
    </row>
    <row r="16" spans="1:12" ht="15.5" x14ac:dyDescent="0.35">
      <c r="A16" s="40" t="s">
        <v>144</v>
      </c>
      <c r="B16" s="4" t="s">
        <v>145</v>
      </c>
      <c r="C16" s="80" t="s">
        <v>146</v>
      </c>
      <c r="D16" s="82"/>
      <c r="E16" t="s">
        <v>207</v>
      </c>
    </row>
    <row r="17" spans="1:4" x14ac:dyDescent="0.35">
      <c r="A17" s="40"/>
      <c r="B17" s="21" t="s">
        <v>147</v>
      </c>
      <c r="C17" s="87"/>
      <c r="D17" s="90"/>
    </row>
    <row r="18" spans="1:4" x14ac:dyDescent="0.35">
      <c r="A18" s="40"/>
      <c r="B18" s="5" t="s">
        <v>148</v>
      </c>
      <c r="C18" s="34" t="s">
        <v>149</v>
      </c>
      <c r="D18" s="11"/>
    </row>
    <row r="19" spans="1:4" x14ac:dyDescent="0.35">
      <c r="A19" s="40"/>
      <c r="B19" s="5" t="s">
        <v>150</v>
      </c>
      <c r="C19" s="34" t="s">
        <v>151</v>
      </c>
      <c r="D19" s="13"/>
    </row>
    <row r="20" spans="1:4" ht="15" thickBot="1" x14ac:dyDescent="0.4">
      <c r="A20" s="40"/>
      <c r="B20" s="5" t="s">
        <v>152</v>
      </c>
      <c r="C20" s="34" t="s">
        <v>151</v>
      </c>
      <c r="D20" s="12"/>
    </row>
    <row r="21" spans="1:4" ht="15" thickBot="1" x14ac:dyDescent="0.4">
      <c r="A21" s="40"/>
      <c r="B21" s="5" t="s">
        <v>153</v>
      </c>
      <c r="C21" s="34" t="s">
        <v>154</v>
      </c>
      <c r="D21" s="13"/>
    </row>
    <row r="22" spans="1:4" x14ac:dyDescent="0.35">
      <c r="A22" s="40"/>
      <c r="B22" s="21" t="s">
        <v>155</v>
      </c>
      <c r="C22" s="87"/>
      <c r="D22" s="89"/>
    </row>
    <row r="23" spans="1:4" x14ac:dyDescent="0.35">
      <c r="A23" s="40"/>
      <c r="B23" s="5" t="s">
        <v>148</v>
      </c>
      <c r="C23" s="34" t="s">
        <v>156</v>
      </c>
      <c r="D23" s="11"/>
    </row>
    <row r="24" spans="1:4" x14ac:dyDescent="0.35">
      <c r="A24" s="40"/>
      <c r="B24" s="5" t="s">
        <v>150</v>
      </c>
      <c r="C24" s="34" t="s">
        <v>157</v>
      </c>
      <c r="D24" s="13"/>
    </row>
    <row r="25" spans="1:4" ht="15" thickBot="1" x14ac:dyDescent="0.4">
      <c r="A25" s="40"/>
      <c r="B25" s="5" t="s">
        <v>152</v>
      </c>
      <c r="C25" s="34" t="s">
        <v>158</v>
      </c>
      <c r="D25" s="12"/>
    </row>
    <row r="26" spans="1:4" ht="15" thickBot="1" x14ac:dyDescent="0.4">
      <c r="A26" s="40"/>
      <c r="B26" s="5" t="s">
        <v>153</v>
      </c>
      <c r="C26" s="34" t="s">
        <v>159</v>
      </c>
      <c r="D26" s="13"/>
    </row>
    <row r="27" spans="1:4" ht="15" thickBot="1" x14ac:dyDescent="0.4">
      <c r="A27" s="40"/>
      <c r="B27" s="21" t="s">
        <v>160</v>
      </c>
      <c r="C27" s="87"/>
      <c r="D27" s="89"/>
    </row>
    <row r="28" spans="1:4" ht="15" thickBot="1" x14ac:dyDescent="0.4">
      <c r="A28" s="40"/>
      <c r="B28" s="5" t="s">
        <v>148</v>
      </c>
      <c r="C28" s="34" t="s">
        <v>161</v>
      </c>
      <c r="D28" s="11"/>
    </row>
    <row r="29" spans="1:4" ht="15" thickBot="1" x14ac:dyDescent="0.4">
      <c r="A29" s="40"/>
      <c r="B29" s="5" t="s">
        <v>162</v>
      </c>
      <c r="C29" s="34" t="s">
        <v>151</v>
      </c>
      <c r="D29" s="13"/>
    </row>
    <row r="30" spans="1:4" ht="15" thickBot="1" x14ac:dyDescent="0.4">
      <c r="A30" s="40"/>
      <c r="B30" s="16" t="s">
        <v>153</v>
      </c>
      <c r="C30" s="35" t="s">
        <v>163</v>
      </c>
      <c r="D30" s="13"/>
    </row>
    <row r="31" spans="1:4" ht="15" thickBot="1" x14ac:dyDescent="0.4">
      <c r="A31" s="41" t="s">
        <v>164</v>
      </c>
      <c r="B31" s="18" t="s">
        <v>165</v>
      </c>
      <c r="C31" s="83" t="s">
        <v>166</v>
      </c>
      <c r="D31" s="86"/>
    </row>
    <row r="32" spans="1:4" ht="15" thickBot="1" x14ac:dyDescent="0.4">
      <c r="A32" s="41"/>
      <c r="B32" s="6" t="s">
        <v>83</v>
      </c>
      <c r="C32" s="33" t="str">
        <f>C14</f>
        <v>2290 mL</v>
      </c>
      <c r="D32" s="9"/>
    </row>
    <row r="33" spans="1:5" ht="15" thickBot="1" x14ac:dyDescent="0.4">
      <c r="A33" s="41"/>
      <c r="B33" s="98" t="s">
        <v>143</v>
      </c>
      <c r="C33" s="99" t="str">
        <f>C15</f>
        <v>1100 mL</v>
      </c>
      <c r="D33" s="100"/>
    </row>
    <row r="34" spans="1:5" ht="15" thickBot="1" x14ac:dyDescent="0.4">
      <c r="A34" s="42"/>
      <c r="B34" s="19" t="s">
        <v>10</v>
      </c>
      <c r="C34" s="23" t="str">
        <f>C12</f>
        <v>167 mL</v>
      </c>
      <c r="D34" s="9"/>
    </row>
    <row r="35" spans="1:5" ht="15" thickBot="1" x14ac:dyDescent="0.4">
      <c r="A35" s="42"/>
      <c r="B35" s="19" t="s">
        <v>39</v>
      </c>
      <c r="C35" s="33" t="str">
        <f>C13</f>
        <v>255 mL</v>
      </c>
      <c r="D35" s="9"/>
    </row>
    <row r="36" spans="1:5" ht="15" thickBot="1" x14ac:dyDescent="0.4">
      <c r="A36" s="41"/>
      <c r="B36" s="6" t="s">
        <v>167</v>
      </c>
      <c r="C36" s="33"/>
      <c r="D36" s="9"/>
      <c r="E36" t="s">
        <v>210</v>
      </c>
    </row>
    <row r="37" spans="1:5" ht="31" x14ac:dyDescent="0.35">
      <c r="A37" s="40" t="s">
        <v>168</v>
      </c>
      <c r="B37" s="4" t="s">
        <v>169</v>
      </c>
      <c r="C37" s="91" t="s">
        <v>146</v>
      </c>
      <c r="D37" s="92"/>
    </row>
    <row r="38" spans="1:5" x14ac:dyDescent="0.35">
      <c r="A38" s="40"/>
      <c r="B38" s="21" t="s">
        <v>170</v>
      </c>
      <c r="C38" s="87"/>
      <c r="D38" s="90"/>
    </row>
    <row r="39" spans="1:5" ht="15" thickBot="1" x14ac:dyDescent="0.4">
      <c r="A39" s="40"/>
      <c r="B39" s="5" t="s">
        <v>171</v>
      </c>
      <c r="C39" s="36" t="str">
        <f>Calculator!R37&amp;" mL"</f>
        <v>8 mL</v>
      </c>
      <c r="D39" s="13"/>
      <c r="E39" t="s">
        <v>209</v>
      </c>
    </row>
    <row r="40" spans="1:5" ht="15" thickBot="1" x14ac:dyDescent="0.4">
      <c r="A40" s="40"/>
      <c r="B40" s="5" t="str">
        <f>Calculator!B7</f>
        <v>XCAI 154, xc2758, xc2759, xc2760</v>
      </c>
      <c r="C40" s="34" t="str">
        <f>Calculator!R37/0.4&amp;" uL each"</f>
        <v>20 uL each</v>
      </c>
      <c r="D40" s="13"/>
    </row>
    <row r="41" spans="1:5" x14ac:dyDescent="0.35">
      <c r="A41" s="40"/>
      <c r="B41" s="21" t="s">
        <v>172</v>
      </c>
      <c r="C41" s="87"/>
      <c r="D41" s="89"/>
    </row>
    <row r="42" spans="1:5" ht="15" thickBot="1" x14ac:dyDescent="0.4">
      <c r="A42" s="40"/>
      <c r="B42" s="5" t="s">
        <v>171</v>
      </c>
      <c r="C42" s="34" t="str">
        <f>Calculator!P37&amp;" mL"</f>
        <v>8 mL</v>
      </c>
      <c r="D42" s="13"/>
    </row>
    <row r="43" spans="1:5" ht="15" thickBot="1" x14ac:dyDescent="0.4">
      <c r="A43" s="40"/>
      <c r="B43" s="5" t="str">
        <f>Calculator!B6</f>
        <v>MR853</v>
      </c>
      <c r="C43" s="34" t="str">
        <f>Calculator!P37*10&amp;" uL each"</f>
        <v>80 uL each</v>
      </c>
      <c r="D43" s="13"/>
    </row>
    <row r="44" spans="1:5" x14ac:dyDescent="0.35">
      <c r="A44" s="40"/>
      <c r="B44" s="22" t="s">
        <v>173</v>
      </c>
      <c r="C44" s="87"/>
      <c r="D44" s="89"/>
    </row>
    <row r="45" spans="1:5" ht="15" thickBot="1" x14ac:dyDescent="0.4">
      <c r="A45" s="40"/>
      <c r="B45" s="5" t="s">
        <v>171</v>
      </c>
      <c r="C45" s="34" t="str">
        <f>Calculator!Q37&amp;" mL"</f>
        <v>8 mL</v>
      </c>
      <c r="D45" s="13"/>
    </row>
    <row r="46" spans="1:5" ht="15" thickBot="1" x14ac:dyDescent="0.4">
      <c r="A46" s="40"/>
      <c r="B46" s="5" t="str">
        <f>Calculator!B5</f>
        <v>ys220</v>
      </c>
      <c r="C46" s="34" t="str">
        <f>Calculator!Q37*10&amp;" uL each"</f>
        <v>80 uL each</v>
      </c>
      <c r="D46" s="13"/>
    </row>
    <row r="47" spans="1:5" x14ac:dyDescent="0.35">
      <c r="A47" s="40"/>
      <c r="B47" s="21" t="s">
        <v>174</v>
      </c>
      <c r="C47" s="87"/>
      <c r="D47" s="89"/>
    </row>
    <row r="48" spans="1:5" ht="15" thickBot="1" x14ac:dyDescent="0.4">
      <c r="A48" s="40"/>
      <c r="B48" s="5" t="s">
        <v>175</v>
      </c>
      <c r="C48" s="34" t="str">
        <f>Calculator!T37&amp;" mL"</f>
        <v>189 mL</v>
      </c>
      <c r="D48" s="13"/>
    </row>
    <row r="49" spans="1:4" x14ac:dyDescent="0.35">
      <c r="A49" s="43"/>
      <c r="B49" s="16" t="s">
        <v>176</v>
      </c>
      <c r="C49" s="35" t="str">
        <f>Calculator!T37*2&amp;" uL"</f>
        <v>378 uL</v>
      </c>
      <c r="D49" s="11"/>
    </row>
    <row r="50" spans="1:4" ht="15" thickBot="1" x14ac:dyDescent="0.4">
      <c r="A50" s="40"/>
      <c r="B50" s="5" t="s">
        <v>177</v>
      </c>
      <c r="C50" s="34"/>
      <c r="D50" s="13"/>
    </row>
    <row r="51" spans="1:4" ht="16" thickBot="1" x14ac:dyDescent="0.4">
      <c r="A51" s="44" t="s">
        <v>178</v>
      </c>
      <c r="B51" s="20" t="s">
        <v>179</v>
      </c>
      <c r="C51" s="85" t="s">
        <v>180</v>
      </c>
      <c r="D51" s="86"/>
    </row>
    <row r="52" spans="1:4" ht="15" thickBot="1" x14ac:dyDescent="0.4">
      <c r="A52" s="41"/>
      <c r="B52" s="6" t="s">
        <v>181</v>
      </c>
      <c r="C52" s="33" t="str">
        <f>ROUND(Calculator!K37*3.1,2)&amp;" mg"</f>
        <v>257.3 mg</v>
      </c>
      <c r="D52" s="9"/>
    </row>
    <row r="53" spans="1:4" ht="15" thickBot="1" x14ac:dyDescent="0.4">
      <c r="A53" s="42"/>
      <c r="B53" s="19" t="s">
        <v>182</v>
      </c>
      <c r="C53" s="37" t="str">
        <f>Calculator!K37&amp;" mL"</f>
        <v>83 mL</v>
      </c>
      <c r="D53" s="14"/>
    </row>
    <row r="54" spans="1:4" ht="15" thickBot="1" x14ac:dyDescent="0.4">
      <c r="A54" s="41"/>
      <c r="B54" s="6" t="s">
        <v>183</v>
      </c>
      <c r="C54" s="33"/>
      <c r="D54" s="9"/>
    </row>
    <row r="55" spans="1:4" ht="16" thickBot="1" x14ac:dyDescent="0.4">
      <c r="A55" s="40" t="s">
        <v>184</v>
      </c>
      <c r="B55" s="4" t="s">
        <v>185</v>
      </c>
      <c r="C55" s="80" t="s">
        <v>141</v>
      </c>
      <c r="D55" s="81"/>
    </row>
    <row r="56" spans="1:4" x14ac:dyDescent="0.35">
      <c r="A56" s="40"/>
      <c r="B56" s="5" t="s">
        <v>186</v>
      </c>
      <c r="C56" s="47" t="str">
        <f>Calculator!L36&amp;" mL"</f>
        <v>122 mL</v>
      </c>
      <c r="D56" s="11"/>
    </row>
    <row r="57" spans="1:4" x14ac:dyDescent="0.35">
      <c r="A57" s="40"/>
      <c r="B57" s="5" t="s">
        <v>187</v>
      </c>
      <c r="C57" s="36" t="str">
        <f>(Calculator!L36*5)&amp;" uL"</f>
        <v>610 uL</v>
      </c>
      <c r="D57" s="11"/>
    </row>
    <row r="58" spans="1:4" x14ac:dyDescent="0.35">
      <c r="A58" s="40"/>
      <c r="B58" s="5" t="s">
        <v>8</v>
      </c>
      <c r="C58" s="34" t="str">
        <f>Calculator!M36&amp;" mL"</f>
        <v>121 mL</v>
      </c>
      <c r="D58" s="13"/>
    </row>
    <row r="59" spans="1:4" ht="15" thickBot="1" x14ac:dyDescent="0.4">
      <c r="A59" s="43"/>
      <c r="B59" s="16" t="s">
        <v>5</v>
      </c>
      <c r="C59" s="35" t="str">
        <f>Calculator!J36&amp;" mL"</f>
        <v>113 mL</v>
      </c>
      <c r="D59" s="11"/>
    </row>
    <row r="60" spans="1:4" ht="31.5" thickBot="1" x14ac:dyDescent="0.4">
      <c r="A60" s="43"/>
      <c r="B60" s="30" t="s">
        <v>188</v>
      </c>
      <c r="C60" s="38"/>
      <c r="D60" s="11"/>
    </row>
    <row r="61" spans="1:4" ht="47" thickBot="1" x14ac:dyDescent="0.4">
      <c r="A61" s="41" t="s">
        <v>189</v>
      </c>
      <c r="B61" s="31" t="s">
        <v>190</v>
      </c>
      <c r="C61" s="33"/>
      <c r="D61" s="9"/>
    </row>
    <row r="63" spans="1:4" x14ac:dyDescent="0.35">
      <c r="A63" s="45"/>
      <c r="B63" s="15"/>
      <c r="D63" s="23"/>
    </row>
    <row r="64" spans="1:4" x14ac:dyDescent="0.35">
      <c r="A64" s="32"/>
      <c r="C64"/>
    </row>
    <row r="65" spans="1:3" x14ac:dyDescent="0.35">
      <c r="A65" s="32"/>
      <c r="C65"/>
    </row>
    <row r="66" spans="1:3" x14ac:dyDescent="0.35">
      <c r="A66" s="32"/>
      <c r="C66"/>
    </row>
    <row r="67" spans="1:3" x14ac:dyDescent="0.35">
      <c r="A67" s="32"/>
      <c r="C67"/>
    </row>
  </sheetData>
  <mergeCells count="17">
    <mergeCell ref="A1:D1"/>
    <mergeCell ref="A4:D4"/>
    <mergeCell ref="C11:D11"/>
    <mergeCell ref="C55:D55"/>
    <mergeCell ref="C16:D16"/>
    <mergeCell ref="C6:D6"/>
    <mergeCell ref="C51:D51"/>
    <mergeCell ref="C5:D5"/>
    <mergeCell ref="C47:D47"/>
    <mergeCell ref="C17:D17"/>
    <mergeCell ref="C22:D22"/>
    <mergeCell ref="C27:D27"/>
    <mergeCell ref="C31:D31"/>
    <mergeCell ref="C38:D38"/>
    <mergeCell ref="C37:D37"/>
    <mergeCell ref="C41:D41"/>
    <mergeCell ref="C44:D44"/>
  </mergeCells>
  <pageMargins left="0.7" right="0.7" top="0.75" bottom="0.75" header="0.3" footer="0.3"/>
  <pageSetup orientation="portrait" verticalDpi="0" r:id="rId1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6B72C91234649829D9D5EFD758DB3" ma:contentTypeVersion="21" ma:contentTypeDescription="Create a new document." ma:contentTypeScope="" ma:versionID="ef0b3580baeb99b62ebb02bb0f5aa316">
  <xsd:schema xmlns:xsd="http://www.w3.org/2001/XMLSchema" xmlns:xs="http://www.w3.org/2001/XMLSchema" xmlns:p="http://schemas.microsoft.com/office/2006/metadata/properties" xmlns:ns1="http://schemas.microsoft.com/sharepoint/v3" xmlns:ns2="9b58a2a9-01f4-494f-8dd5-d2de8406505e" xmlns:ns3="f1278d94-5bd9-4bdb-b267-5301cfcc9b3e" targetNamespace="http://schemas.microsoft.com/office/2006/metadata/properties" ma:root="true" ma:fieldsID="2cff2e63ec0bf810a21aedc5dad3fbb9" ns1:_="" ns2:_="" ns3:_="">
    <xsd:import namespace="http://schemas.microsoft.com/sharepoint/v3"/>
    <xsd:import namespace="9b58a2a9-01f4-494f-8dd5-d2de8406505e"/>
    <xsd:import namespace="f1278d94-5bd9-4bdb-b267-5301cfcc9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8a2a9-01f4-494f-8dd5-d2de84065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8d94-5bd9-4bdb-b267-5301cfcc9b3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20303c7-6347-4452-9434-9ce696ce9fe7}" ma:internalName="TaxCatchAll" ma:showField="CatchAllData" ma:web="f1278d94-5bd9-4bdb-b267-5301cfcc9b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278d94-5bd9-4bdb-b267-5301cfcc9b3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b58a2a9-01f4-494f-8dd5-d2de840650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E3F6B-C70F-4639-9D91-884463D390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b58a2a9-01f4-494f-8dd5-d2de8406505e"/>
    <ds:schemaRef ds:uri="f1278d94-5bd9-4bdb-b267-5301cfcc9b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0B104-15A1-4588-ACB9-BED36411425F}">
  <ds:schemaRefs>
    <ds:schemaRef ds:uri="http://schemas.microsoft.com/office/2006/metadata/properties"/>
    <ds:schemaRef ds:uri="http://schemas.microsoft.com/office/infopath/2007/PartnerControls"/>
    <ds:schemaRef ds:uri="f1278d94-5bd9-4bdb-b267-5301cfcc9b3e"/>
    <ds:schemaRef ds:uri="http://schemas.microsoft.com/sharepoint/v3"/>
    <ds:schemaRef ds:uri="9b58a2a9-01f4-494f-8dd5-d2de8406505e"/>
  </ds:schemaRefs>
</ds:datastoreItem>
</file>

<file path=customXml/itemProps3.xml><?xml version="1.0" encoding="utf-8"?>
<ds:datastoreItem xmlns:ds="http://schemas.openxmlformats.org/officeDocument/2006/customXml" ds:itemID="{25983200-02D6-4641-B536-8755A9A708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Calculator</vt:lpstr>
      <vt:lpstr>Reagent Prep</vt:lpstr>
      <vt:lpstr>Calculator!Print_Area</vt:lpstr>
      <vt:lpstr>'Reagent Prep'!Print_Area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Zoe Maltzer</dc:creator>
  <cp:keywords/>
  <dc:description/>
  <cp:lastModifiedBy>Jacob Lapka</cp:lastModifiedBy>
  <cp:revision/>
  <dcterms:created xsi:type="dcterms:W3CDTF">2024-05-16T23:34:28Z</dcterms:created>
  <dcterms:modified xsi:type="dcterms:W3CDTF">2026-10-16T17:37:48Z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0x010100FFA6B72C91234649829D9D5EFD758DB3</vt:lpwstr>
  </property>
  <property fmtid="{D5CDD505-2E9C-101B-9397-08002B2CF9AE}" pid="3" name="MediaServiceImageTags">
    <vt:lpwstr/>
  </property>
</Properties>
</file>